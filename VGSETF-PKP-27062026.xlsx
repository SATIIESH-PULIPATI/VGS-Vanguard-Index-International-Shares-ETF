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S PKP" sheetId="1" r:id="rId5"/>
    <sheet state="visible" name="VGS History Data" sheetId="2" r:id="rId6"/>
    <sheet state="visible" name="Total Investment" sheetId="3" r:id="rId7"/>
  </sheets>
  <definedNames/>
  <calcPr/>
</workbook>
</file>

<file path=xl/sharedStrings.xml><?xml version="1.0" encoding="utf-8"?>
<sst xmlns="http://schemas.openxmlformats.org/spreadsheetml/2006/main" count="197" uniqueCount="42">
  <si>
    <t>Transaction Type</t>
  </si>
  <si>
    <t xml:space="preserve">Date </t>
  </si>
  <si>
    <t>Day</t>
  </si>
  <si>
    <t xml:space="preserve">OPEN </t>
  </si>
  <si>
    <t xml:space="preserve">HIGH </t>
  </si>
  <si>
    <t xml:space="preserve">LOW </t>
  </si>
  <si>
    <t xml:space="preserve">close </t>
  </si>
  <si>
    <t xml:space="preserve">vwap </t>
  </si>
  <si>
    <t>Units Bought</t>
  </si>
  <si>
    <t>Buy Price</t>
  </si>
  <si>
    <t>Total Holding</t>
  </si>
  <si>
    <t xml:space="preserve"> Total Basic Investment</t>
  </si>
  <si>
    <t>Value at close</t>
  </si>
  <si>
    <t>Profit /Loss</t>
  </si>
  <si>
    <t>Units Sold</t>
  </si>
  <si>
    <t>Sell Price</t>
  </si>
  <si>
    <t>Profit Booked</t>
  </si>
  <si>
    <t>Total Profit Booked</t>
  </si>
  <si>
    <t>SIP</t>
  </si>
  <si>
    <t>MONDAY</t>
  </si>
  <si>
    <t>TUESDAY</t>
  </si>
  <si>
    <t>WEDNESDAY</t>
  </si>
  <si>
    <t>THURSDAY</t>
  </si>
  <si>
    <t>FRIDAY</t>
  </si>
  <si>
    <t xml:space="preserve">Next week trigger Price: </t>
  </si>
  <si>
    <t>MIN:</t>
  </si>
  <si>
    <t>HOLIDAY</t>
  </si>
  <si>
    <t>Profit Booking</t>
  </si>
  <si>
    <t>Round Off</t>
  </si>
  <si>
    <t>Amount</t>
  </si>
  <si>
    <t>Shares Remain</t>
  </si>
  <si>
    <t>Vanguard MSCI Index International Shares ETF (VGS)</t>
  </si>
  <si>
    <t>ASX:VGS</t>
  </si>
  <si>
    <t>Start Date:</t>
  </si>
  <si>
    <t>EndDate:</t>
  </si>
  <si>
    <t>DAY</t>
  </si>
  <si>
    <t>Profit Booked Date</t>
  </si>
  <si>
    <t>Total Investment</t>
  </si>
  <si>
    <t>Shares Sold</t>
  </si>
  <si>
    <t>Selling Price</t>
  </si>
  <si>
    <t xml:space="preserve">Profit </t>
  </si>
  <si>
    <t>Total Shares Left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</si>
</sst>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b/>
      <i/>
      <color theme="1"/>
      <name val="Arial"/>
      <scheme val="minor"/>
    </font>
    <font>
      <b/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4" fontId="1" numFmtId="0" xfId="0" applyAlignment="1" applyBorder="1" applyFill="1" applyFont="1">
      <alignment horizontal="center" readingOrder="0" shrinkToFit="0" wrapText="1"/>
    </xf>
    <xf borderId="0" fillId="2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3" fontId="3" numFmtId="0" xfId="0" applyAlignment="1" applyFont="1">
      <alignment readingOrder="0"/>
    </xf>
    <xf borderId="2" fillId="5" fontId="3" numFmtId="0" xfId="0" applyAlignment="1" applyBorder="1" applyFill="1" applyFont="1">
      <alignment horizontal="center" readingOrder="0"/>
    </xf>
    <xf borderId="0" fillId="5" fontId="3" numFmtId="164" xfId="0" applyAlignment="1" applyFont="1" applyNumberFormat="1">
      <alignment readingOrder="0"/>
    </xf>
    <xf borderId="0" fillId="5" fontId="4" numFmtId="0" xfId="0" applyAlignment="1" applyFont="1">
      <alignment horizontal="right" readingOrder="0" shrinkToFit="0" vertical="bottom" wrapText="0"/>
    </xf>
    <xf borderId="0" fillId="5" fontId="3" numFmtId="2" xfId="0" applyFont="1" applyNumberFormat="1"/>
    <xf borderId="0" fillId="5" fontId="3" numFmtId="0" xfId="0" applyFont="1"/>
    <xf borderId="0" fillId="5" fontId="3" numFmtId="0" xfId="0" applyAlignment="1" applyFont="1">
      <alignment readingOrder="0"/>
    </xf>
    <xf borderId="3" fillId="5" fontId="3" numFmtId="0" xfId="0" applyBorder="1" applyFont="1"/>
    <xf borderId="0" fillId="2" fontId="3" numFmtId="0" xfId="0" applyFont="1"/>
    <xf borderId="2" fillId="0" fontId="4" numFmtId="164" xfId="0" applyAlignment="1" applyBorder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2" xfId="0" applyFont="1" applyNumberFormat="1"/>
    <xf borderId="0" fillId="2" fontId="3" numFmtId="0" xfId="0" applyAlignment="1" applyFont="1">
      <alignment readingOrder="0"/>
    </xf>
    <xf borderId="3" fillId="2" fontId="3" numFmtId="0" xfId="0" applyBorder="1" applyFont="1"/>
    <xf borderId="2" fillId="6" fontId="4" numFmtId="164" xfId="0" applyAlignment="1" applyBorder="1" applyFill="1" applyFont="1" applyNumberFormat="1">
      <alignment horizontal="right" readingOrder="0" shrinkToFit="0" vertical="bottom" wrapText="0"/>
    </xf>
    <xf borderId="0" fillId="6" fontId="4" numFmtId="164" xfId="0" applyAlignment="1" applyFont="1" applyNumberFormat="1">
      <alignment horizontal="right" readingOrder="0" shrinkToFit="0" vertical="bottom" wrapText="0"/>
    </xf>
    <xf borderId="0" fillId="6" fontId="4" numFmtId="0" xfId="0" applyAlignment="1" applyFont="1">
      <alignment horizontal="right" readingOrder="0" shrinkToFit="0" vertical="bottom" wrapText="0"/>
    </xf>
    <xf borderId="0" fillId="6" fontId="3" numFmtId="0" xfId="0" applyFont="1"/>
    <xf borderId="0" fillId="6" fontId="3" numFmtId="0" xfId="0" applyAlignment="1" applyFont="1">
      <alignment readingOrder="0"/>
    </xf>
    <xf borderId="3" fillId="6" fontId="3" numFmtId="0" xfId="0" applyBorder="1" applyFont="1"/>
    <xf borderId="2" fillId="5" fontId="4" numFmtId="0" xfId="0" applyAlignment="1" applyBorder="1" applyFont="1">
      <alignment horizontal="center" readingOrder="0" shrinkToFit="0" vertical="bottom" wrapText="0"/>
    </xf>
    <xf borderId="0" fillId="5" fontId="4" numFmtId="164" xfId="0" applyAlignment="1" applyFont="1" applyNumberFormat="1">
      <alignment horizontal="right" readingOrder="0" shrinkToFit="0" vertical="bottom" wrapText="0"/>
    </xf>
    <xf borderId="0" fillId="5" fontId="5" numFmtId="0" xfId="0" applyAlignment="1" applyFont="1">
      <alignment horizontal="right" vertical="bottom"/>
    </xf>
    <xf borderId="0" fillId="2" fontId="5" numFmtId="0" xfId="0" applyAlignment="1" applyFont="1">
      <alignment horizontal="right" readingOrder="0" vertical="bottom"/>
    </xf>
    <xf borderId="0" fillId="6" fontId="3" numFmtId="2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2" fillId="0" fontId="3" numFmtId="165" xfId="0" applyBorder="1" applyFont="1" applyNumberFormat="1"/>
    <xf borderId="0" fillId="0" fontId="3" numFmtId="165" xfId="0" applyFont="1" applyNumberFormat="1"/>
    <xf borderId="2" fillId="6" fontId="3" numFmtId="165" xfId="0" applyBorder="1" applyFont="1" applyNumberFormat="1"/>
    <xf borderId="0" fillId="6" fontId="3" numFmtId="165" xfId="0" applyFont="1" applyNumberFormat="1"/>
    <xf borderId="0" fillId="5" fontId="3" numFmtId="165" xfId="0" applyFont="1" applyNumberFormat="1"/>
    <xf borderId="0" fillId="5" fontId="3" numFmtId="2" xfId="0" applyAlignment="1" applyFont="1" applyNumberFormat="1">
      <alignment readingOrder="0"/>
    </xf>
    <xf borderId="2" fillId="0" fontId="3" numFmtId="0" xfId="0" applyBorder="1" applyFont="1"/>
    <xf borderId="2" fillId="6" fontId="3" numFmtId="0" xfId="0" applyBorder="1" applyFont="1"/>
    <xf borderId="0" fillId="6" fontId="2" numFmtId="0" xfId="0" applyAlignment="1" applyFont="1">
      <alignment readingOrder="0"/>
    </xf>
    <xf borderId="0" fillId="6" fontId="2" numFmtId="0" xfId="0" applyFont="1"/>
    <xf borderId="0" fillId="6" fontId="2" numFmtId="0" xfId="0" applyAlignment="1" applyFont="1">
      <alignment horizontal="right" readingOrder="0"/>
    </xf>
    <xf borderId="0" fillId="6" fontId="2" numFmtId="2" xfId="0" applyFont="1" applyNumberFormat="1"/>
    <xf borderId="0" fillId="6" fontId="6" numFmtId="0" xfId="0" applyAlignment="1" applyFont="1">
      <alignment readingOrder="0"/>
    </xf>
    <xf borderId="0" fillId="6" fontId="6" numFmtId="0" xfId="0" applyFont="1"/>
    <xf borderId="0" fillId="6" fontId="6" numFmtId="0" xfId="0" applyAlignment="1" applyFont="1">
      <alignment horizontal="right" readingOrder="0"/>
    </xf>
    <xf borderId="2" fillId="5" fontId="3" numFmtId="0" xfId="0" applyAlignment="1" applyBorder="1" applyFont="1">
      <alignment readingOrder="0"/>
    </xf>
    <xf borderId="3" fillId="0" fontId="3" numFmtId="0" xfId="0" applyBorder="1" applyFont="1"/>
    <xf borderId="0" fillId="7" fontId="3" numFmtId="0" xfId="0" applyAlignment="1" applyFill="1" applyFont="1">
      <alignment readingOrder="0"/>
    </xf>
    <xf borderId="0" fillId="5" fontId="3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3" fillId="0" fontId="3" numFmtId="2" xfId="0" applyAlignment="1" applyBorder="1" applyFont="1" applyNumberFormat="1">
      <alignment readingOrder="0"/>
    </xf>
    <xf borderId="2" fillId="2" fontId="3" numFmtId="0" xfId="0" applyBorder="1" applyFont="1"/>
    <xf borderId="2" fillId="5" fontId="3" numFmtId="0" xfId="0" applyBorder="1" applyFont="1"/>
    <xf borderId="0" fillId="0" fontId="3" numFmtId="164" xfId="0" applyAlignment="1" applyFont="1" applyNumberFormat="1">
      <alignment readingOrder="0"/>
    </xf>
    <xf borderId="0" fillId="2" fontId="3" numFmtId="164" xfId="0" applyAlignment="1" applyFont="1" applyNumberFormat="1">
      <alignment readingOrder="0"/>
    </xf>
    <xf borderId="0" fillId="8" fontId="2" numFmtId="0" xfId="0" applyAlignment="1" applyFill="1" applyFont="1">
      <alignment horizontal="center" readingOrder="0"/>
    </xf>
    <xf borderId="0" fillId="8" fontId="2" numFmtId="2" xfId="0" applyAlignment="1" applyFont="1" applyNumberFormat="1">
      <alignment horizontal="center"/>
    </xf>
    <xf borderId="0" fillId="8" fontId="2" numFmtId="2" xfId="0" applyAlignment="1" applyFont="1" applyNumberFormat="1">
      <alignment horizontal="center" readingOrder="0"/>
    </xf>
    <xf borderId="0" fillId="8" fontId="2" numFmtId="0" xfId="0" applyAlignment="1" applyFont="1">
      <alignment horizontal="center"/>
    </xf>
    <xf borderId="0" fillId="8" fontId="2" numFmtId="0" xfId="0" applyFont="1"/>
    <xf borderId="0" fillId="8" fontId="2" numFmtId="0" xfId="0" applyAlignment="1" applyFont="1">
      <alignment readingOrder="0"/>
    </xf>
    <xf borderId="0" fillId="8" fontId="2" numFmtId="2" xfId="0" applyFont="1" applyNumberFormat="1"/>
    <xf borderId="3" fillId="8" fontId="2" numFmtId="0" xfId="0" applyBorder="1" applyFont="1"/>
    <xf borderId="0" fillId="3" fontId="7" numFmtId="0" xfId="0" applyAlignment="1" applyFont="1">
      <alignment readingOrder="0"/>
    </xf>
    <xf borderId="0" fillId="3" fontId="7" numFmtId="0" xfId="0" applyFont="1"/>
    <xf borderId="0" fillId="0" fontId="2" numFmtId="0" xfId="0" applyAlignment="1" applyFont="1">
      <alignment horizontal="right" readingOrder="0"/>
    </xf>
    <xf borderId="0" fillId="0" fontId="3" numFmtId="14" xfId="0" applyFont="1" applyNumberFormat="1"/>
    <xf borderId="0" fillId="0" fontId="3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38"/>
    <col customWidth="1" min="15" max="15" width="5.75"/>
    <col customWidth="1" min="19" max="19" width="15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/>
      <c r="P1" s="6" t="s">
        <v>14</v>
      </c>
      <c r="Q1" s="6" t="s">
        <v>15</v>
      </c>
      <c r="R1" s="7" t="s">
        <v>16</v>
      </c>
      <c r="S1" s="7" t="s">
        <v>17</v>
      </c>
    </row>
    <row r="2">
      <c r="A2" s="8" t="s">
        <v>18</v>
      </c>
      <c r="B2" s="9">
        <v>45727.0</v>
      </c>
      <c r="C2" s="10"/>
      <c r="D2" s="10">
        <v>135.66</v>
      </c>
      <c r="E2" s="10">
        <v>136.05</v>
      </c>
      <c r="F2" s="10">
        <v>134.36</v>
      </c>
      <c r="G2" s="11">
        <v>136.0</v>
      </c>
      <c r="H2" s="12"/>
      <c r="I2" s="13">
        <v>3.0</v>
      </c>
      <c r="J2" s="13">
        <v>135.27</v>
      </c>
      <c r="K2" s="13">
        <v>3.0</v>
      </c>
      <c r="L2" s="12">
        <f>J2*I2</f>
        <v>405.81</v>
      </c>
      <c r="M2" s="12">
        <f t="shared" ref="M2:M20" si="1">K2*G2</f>
        <v>408</v>
      </c>
      <c r="N2" s="14">
        <f t="shared" ref="N2:N20" si="2">M2-L2</f>
        <v>2.19</v>
      </c>
      <c r="O2" s="15"/>
      <c r="P2" s="15"/>
    </row>
    <row r="3">
      <c r="A3" s="16"/>
      <c r="B3" s="17">
        <v>45728.0</v>
      </c>
      <c r="C3" s="18"/>
      <c r="D3" s="18">
        <v>134.77</v>
      </c>
      <c r="E3" s="18">
        <v>134.93</v>
      </c>
      <c r="F3" s="18">
        <v>134.47</v>
      </c>
      <c r="G3" s="19">
        <v>134.81</v>
      </c>
      <c r="K3" s="20">
        <v>3.0</v>
      </c>
      <c r="L3" s="20">
        <v>405.81</v>
      </c>
      <c r="M3" s="15">
        <f t="shared" si="1"/>
        <v>404.43</v>
      </c>
      <c r="N3" s="21">
        <f t="shared" si="2"/>
        <v>-1.38</v>
      </c>
      <c r="R3" s="15"/>
    </row>
    <row r="4">
      <c r="A4" s="16"/>
      <c r="B4" s="17">
        <v>45729.0</v>
      </c>
      <c r="C4" s="18"/>
      <c r="D4" s="18">
        <v>134.67</v>
      </c>
      <c r="E4" s="18">
        <v>134.94</v>
      </c>
      <c r="F4" s="18">
        <v>134.32</v>
      </c>
      <c r="G4" s="19">
        <v>134.38</v>
      </c>
      <c r="K4" s="20">
        <v>3.0</v>
      </c>
      <c r="L4" s="20">
        <v>405.81</v>
      </c>
      <c r="M4" s="15">
        <f t="shared" si="1"/>
        <v>403.14</v>
      </c>
      <c r="N4" s="21">
        <f t="shared" si="2"/>
        <v>-2.67</v>
      </c>
    </row>
    <row r="5">
      <c r="A5" s="16"/>
      <c r="B5" s="17">
        <v>45730.0</v>
      </c>
      <c r="C5" s="18"/>
      <c r="D5" s="18">
        <v>134.38</v>
      </c>
      <c r="E5" s="18">
        <v>134.7</v>
      </c>
      <c r="F5" s="18">
        <v>134.2</v>
      </c>
      <c r="G5" s="19">
        <v>134.47</v>
      </c>
      <c r="K5" s="20">
        <v>3.0</v>
      </c>
      <c r="L5" s="20">
        <v>405.81</v>
      </c>
      <c r="M5" s="15">
        <f t="shared" si="1"/>
        <v>403.41</v>
      </c>
      <c r="N5" s="21">
        <f t="shared" si="2"/>
        <v>-2.4</v>
      </c>
    </row>
    <row r="6">
      <c r="A6" s="16"/>
      <c r="B6" s="17">
        <v>45733.0</v>
      </c>
      <c r="C6" s="18" t="s">
        <v>19</v>
      </c>
      <c r="D6" s="18">
        <v>134.89</v>
      </c>
      <c r="E6" s="18">
        <v>135.1</v>
      </c>
      <c r="F6" s="18">
        <v>134.75</v>
      </c>
      <c r="G6" s="19">
        <v>135.0</v>
      </c>
      <c r="K6" s="20">
        <v>3.0</v>
      </c>
      <c r="L6" s="20">
        <v>405.81</v>
      </c>
      <c r="M6" s="15">
        <f t="shared" si="1"/>
        <v>405</v>
      </c>
      <c r="N6" s="21">
        <f t="shared" si="2"/>
        <v>-0.81</v>
      </c>
    </row>
    <row r="7">
      <c r="A7" s="16"/>
      <c r="B7" s="17">
        <v>45734.0</v>
      </c>
      <c r="C7" s="18" t="s">
        <v>20</v>
      </c>
      <c r="D7" s="18">
        <v>135.63</v>
      </c>
      <c r="E7" s="18">
        <v>135.67</v>
      </c>
      <c r="F7" s="18">
        <v>135.21</v>
      </c>
      <c r="G7" s="19">
        <v>135.32</v>
      </c>
      <c r="K7" s="20">
        <v>3.0</v>
      </c>
      <c r="L7" s="20">
        <v>405.81</v>
      </c>
      <c r="M7" s="15">
        <f t="shared" si="1"/>
        <v>405.96</v>
      </c>
      <c r="N7" s="21">
        <f t="shared" si="2"/>
        <v>0.15</v>
      </c>
    </row>
    <row r="8">
      <c r="A8" s="16"/>
      <c r="B8" s="17">
        <v>45735.0</v>
      </c>
      <c r="C8" s="18" t="s">
        <v>21</v>
      </c>
      <c r="D8" s="18">
        <v>135.35</v>
      </c>
      <c r="E8" s="18">
        <v>135.37</v>
      </c>
      <c r="F8" s="18">
        <v>134.92</v>
      </c>
      <c r="G8" s="19">
        <v>135.22</v>
      </c>
      <c r="K8" s="20">
        <v>3.0</v>
      </c>
      <c r="L8" s="20">
        <v>405.81</v>
      </c>
      <c r="M8" s="15">
        <f t="shared" si="1"/>
        <v>405.66</v>
      </c>
      <c r="N8" s="21">
        <f t="shared" si="2"/>
        <v>-0.15</v>
      </c>
    </row>
    <row r="9">
      <c r="A9" s="16"/>
      <c r="B9" s="17">
        <v>45736.0</v>
      </c>
      <c r="C9" s="18" t="s">
        <v>22</v>
      </c>
      <c r="D9" s="18">
        <v>136.57</v>
      </c>
      <c r="E9" s="18">
        <v>137.33</v>
      </c>
      <c r="F9" s="18">
        <v>136.55</v>
      </c>
      <c r="G9" s="19">
        <v>137.15</v>
      </c>
      <c r="K9" s="20">
        <v>3.0</v>
      </c>
      <c r="L9" s="20">
        <v>405.81</v>
      </c>
      <c r="M9" s="15">
        <f t="shared" si="1"/>
        <v>411.45</v>
      </c>
      <c r="N9" s="21">
        <f t="shared" si="2"/>
        <v>5.64</v>
      </c>
    </row>
    <row r="10">
      <c r="A10" s="16"/>
      <c r="B10" s="17">
        <v>45737.0</v>
      </c>
      <c r="C10" s="18" t="s">
        <v>23</v>
      </c>
      <c r="D10" s="18">
        <v>137.38</v>
      </c>
      <c r="E10" s="18">
        <v>137.38</v>
      </c>
      <c r="F10" s="18">
        <v>136.76</v>
      </c>
      <c r="G10" s="19">
        <v>137.11</v>
      </c>
      <c r="K10" s="20">
        <v>3.0</v>
      </c>
      <c r="L10" s="20">
        <v>405.81</v>
      </c>
      <c r="M10" s="15">
        <f t="shared" si="1"/>
        <v>411.33</v>
      </c>
      <c r="N10" s="21">
        <f t="shared" si="2"/>
        <v>5.52</v>
      </c>
    </row>
    <row r="11">
      <c r="A11" s="16"/>
      <c r="B11" s="17">
        <v>45740.0</v>
      </c>
      <c r="C11" s="18" t="s">
        <v>19</v>
      </c>
      <c r="D11" s="18">
        <v>137.84</v>
      </c>
      <c r="E11" s="18">
        <v>138.16</v>
      </c>
      <c r="F11" s="18">
        <v>137.77</v>
      </c>
      <c r="G11" s="19">
        <v>138.11</v>
      </c>
      <c r="K11" s="20">
        <v>3.0</v>
      </c>
      <c r="L11" s="20">
        <v>405.81</v>
      </c>
      <c r="M11" s="15">
        <f t="shared" si="1"/>
        <v>414.33</v>
      </c>
      <c r="N11" s="21">
        <f t="shared" si="2"/>
        <v>8.52</v>
      </c>
    </row>
    <row r="12">
      <c r="A12" s="16"/>
      <c r="B12" s="17">
        <v>45741.0</v>
      </c>
      <c r="C12" s="18" t="s">
        <v>20</v>
      </c>
      <c r="D12" s="18">
        <v>139.0</v>
      </c>
      <c r="E12" s="18">
        <v>139.03</v>
      </c>
      <c r="F12" s="18">
        <v>138.6</v>
      </c>
      <c r="G12" s="19">
        <v>138.6</v>
      </c>
      <c r="K12" s="20">
        <v>3.0</v>
      </c>
      <c r="L12" s="20">
        <v>405.81</v>
      </c>
      <c r="M12" s="15">
        <f t="shared" si="1"/>
        <v>415.8</v>
      </c>
      <c r="N12" s="21">
        <f t="shared" si="2"/>
        <v>9.99</v>
      </c>
    </row>
    <row r="13">
      <c r="A13" s="16"/>
      <c r="B13" s="17">
        <v>45742.0</v>
      </c>
      <c r="C13" s="18" t="s">
        <v>21</v>
      </c>
      <c r="D13" s="18">
        <v>139.1</v>
      </c>
      <c r="E13" s="18">
        <v>139.63</v>
      </c>
      <c r="F13" s="18">
        <v>138.78</v>
      </c>
      <c r="G13" s="19">
        <v>138.95</v>
      </c>
      <c r="K13" s="20">
        <v>3.0</v>
      </c>
      <c r="L13" s="20">
        <v>405.81</v>
      </c>
      <c r="M13" s="15">
        <f t="shared" si="1"/>
        <v>416.85</v>
      </c>
      <c r="N13" s="21">
        <f t="shared" si="2"/>
        <v>11.04</v>
      </c>
    </row>
    <row r="14">
      <c r="A14" s="16"/>
      <c r="B14" s="17">
        <v>45743.0</v>
      </c>
      <c r="C14" s="18" t="s">
        <v>22</v>
      </c>
      <c r="D14" s="18">
        <v>137.44</v>
      </c>
      <c r="E14" s="18">
        <v>137.54</v>
      </c>
      <c r="F14" s="18">
        <v>137.18</v>
      </c>
      <c r="G14" s="19">
        <v>137.46</v>
      </c>
      <c r="K14" s="20">
        <v>3.0</v>
      </c>
      <c r="L14" s="20">
        <v>405.81</v>
      </c>
      <c r="M14" s="15">
        <f t="shared" si="1"/>
        <v>412.38</v>
      </c>
      <c r="N14" s="21">
        <f t="shared" si="2"/>
        <v>6.57</v>
      </c>
    </row>
    <row r="15">
      <c r="A15" s="16"/>
      <c r="B15" s="17">
        <v>45744.0</v>
      </c>
      <c r="C15" s="18" t="s">
        <v>23</v>
      </c>
      <c r="D15" s="18">
        <v>137.21</v>
      </c>
      <c r="E15" s="18">
        <v>137.49</v>
      </c>
      <c r="F15" s="18">
        <v>136.91</v>
      </c>
      <c r="G15" s="19">
        <v>137.38</v>
      </c>
      <c r="K15" s="20">
        <v>3.0</v>
      </c>
      <c r="L15" s="20">
        <v>405.81</v>
      </c>
      <c r="M15" s="15">
        <f t="shared" si="1"/>
        <v>412.14</v>
      </c>
      <c r="N15" s="21">
        <f t="shared" si="2"/>
        <v>6.33</v>
      </c>
    </row>
    <row r="16">
      <c r="A16" s="16"/>
      <c r="B16" s="17">
        <v>45747.0</v>
      </c>
      <c r="C16" s="18" t="s">
        <v>19</v>
      </c>
      <c r="D16" s="18">
        <v>134.67</v>
      </c>
      <c r="E16" s="18">
        <v>134.74</v>
      </c>
      <c r="F16" s="18">
        <v>133.93</v>
      </c>
      <c r="G16" s="19">
        <v>134.32</v>
      </c>
      <c r="K16" s="20">
        <v>3.0</v>
      </c>
      <c r="L16" s="20">
        <v>405.81</v>
      </c>
      <c r="M16" s="15">
        <f t="shared" si="1"/>
        <v>402.96</v>
      </c>
      <c r="N16" s="21">
        <f t="shared" si="2"/>
        <v>-2.85</v>
      </c>
    </row>
    <row r="17">
      <c r="A17" s="16"/>
      <c r="B17" s="17">
        <v>45748.0</v>
      </c>
      <c r="C17" s="18" t="s">
        <v>20</v>
      </c>
      <c r="D17" s="18">
        <v>134.22</v>
      </c>
      <c r="E17" s="18">
        <v>134.54</v>
      </c>
      <c r="F17" s="18">
        <v>133.7</v>
      </c>
      <c r="G17" s="19">
        <v>133.95</v>
      </c>
      <c r="K17" s="20">
        <v>3.0</v>
      </c>
      <c r="L17" s="20">
        <v>405.81</v>
      </c>
      <c r="M17" s="15">
        <f t="shared" si="1"/>
        <v>401.85</v>
      </c>
      <c r="N17" s="21">
        <f t="shared" si="2"/>
        <v>-3.96</v>
      </c>
    </row>
    <row r="18">
      <c r="A18" s="16"/>
      <c r="B18" s="17">
        <v>45749.0</v>
      </c>
      <c r="C18" s="18" t="s">
        <v>21</v>
      </c>
      <c r="D18" s="18">
        <v>134.41</v>
      </c>
      <c r="E18" s="18">
        <v>134.55</v>
      </c>
      <c r="F18" s="18">
        <v>133.7</v>
      </c>
      <c r="G18" s="19">
        <v>133.74</v>
      </c>
      <c r="K18" s="20">
        <v>3.0</v>
      </c>
      <c r="L18" s="20">
        <v>405.809999999999</v>
      </c>
      <c r="M18" s="15">
        <f t="shared" si="1"/>
        <v>401.22</v>
      </c>
      <c r="N18" s="21">
        <f t="shared" si="2"/>
        <v>-4.59</v>
      </c>
    </row>
    <row r="19">
      <c r="A19" s="16"/>
      <c r="B19" s="17">
        <v>45750.0</v>
      </c>
      <c r="C19" s="18" t="s">
        <v>22</v>
      </c>
      <c r="D19" s="18">
        <v>132.0</v>
      </c>
      <c r="E19" s="18">
        <v>132.3</v>
      </c>
      <c r="F19" s="18">
        <v>130.72</v>
      </c>
      <c r="G19" s="19">
        <v>132.1</v>
      </c>
      <c r="K19" s="20">
        <v>3.0</v>
      </c>
      <c r="L19" s="20">
        <v>405.809999999999</v>
      </c>
      <c r="M19" s="15">
        <f t="shared" si="1"/>
        <v>396.3</v>
      </c>
      <c r="N19" s="21">
        <f t="shared" si="2"/>
        <v>-9.51</v>
      </c>
    </row>
    <row r="20">
      <c r="A20" s="16"/>
      <c r="B20" s="17">
        <v>45751.0</v>
      </c>
      <c r="C20" s="18" t="s">
        <v>23</v>
      </c>
      <c r="D20" s="18">
        <v>130.0</v>
      </c>
      <c r="E20" s="18">
        <v>130.0</v>
      </c>
      <c r="F20" s="18">
        <v>128.35</v>
      </c>
      <c r="G20" s="19">
        <v>129.51</v>
      </c>
      <c r="K20" s="20">
        <v>3.0</v>
      </c>
      <c r="L20" s="20">
        <v>405.809999999999</v>
      </c>
      <c r="M20" s="15">
        <f t="shared" si="1"/>
        <v>388.53</v>
      </c>
      <c r="N20" s="21">
        <f t="shared" si="2"/>
        <v>-17.28</v>
      </c>
    </row>
    <row r="21">
      <c r="A21" s="22"/>
      <c r="B21" s="23"/>
      <c r="C21" s="24"/>
      <c r="D21" s="24"/>
      <c r="E21" s="24"/>
      <c r="F21" s="24"/>
      <c r="G21" s="25"/>
      <c r="H21" s="25"/>
      <c r="I21" s="26"/>
      <c r="J21" s="26"/>
      <c r="K21" s="26"/>
      <c r="L21" s="25"/>
      <c r="M21" s="25"/>
      <c r="N21" s="27"/>
    </row>
    <row r="22">
      <c r="A22" s="28" t="s">
        <v>18</v>
      </c>
      <c r="B22" s="29">
        <v>45754.0</v>
      </c>
      <c r="C22" s="10" t="s">
        <v>19</v>
      </c>
      <c r="D22" s="10">
        <v>123.5</v>
      </c>
      <c r="E22" s="10">
        <v>124.92</v>
      </c>
      <c r="F22" s="10">
        <v>122.4</v>
      </c>
      <c r="G22" s="11">
        <v>123.16</v>
      </c>
      <c r="H22" s="12"/>
      <c r="I22" s="13">
        <v>1.0</v>
      </c>
      <c r="J22" s="13">
        <v>122.97</v>
      </c>
      <c r="K22" s="30">
        <f t="shared" ref="K22:L22" si="3">K2+I22</f>
        <v>4</v>
      </c>
      <c r="L22" s="12">
        <f t="shared" si="3"/>
        <v>528.78</v>
      </c>
      <c r="M22" s="12">
        <f t="shared" ref="M22:M38" si="4">K22*G22</f>
        <v>492.64</v>
      </c>
      <c r="N22" s="14">
        <f t="shared" ref="N22:N38" si="5">M22-L22</f>
        <v>-36.14</v>
      </c>
    </row>
    <row r="23">
      <c r="A23" s="16"/>
      <c r="B23" s="17">
        <v>45755.0</v>
      </c>
      <c r="C23" s="18" t="s">
        <v>20</v>
      </c>
      <c r="D23" s="18">
        <v>127.5</v>
      </c>
      <c r="E23" s="18">
        <v>128.65</v>
      </c>
      <c r="F23" s="18">
        <v>126.51</v>
      </c>
      <c r="G23" s="19">
        <v>126.79</v>
      </c>
      <c r="K23" s="31">
        <v>4.0</v>
      </c>
      <c r="L23" s="20">
        <v>528.78</v>
      </c>
      <c r="M23" s="15">
        <f t="shared" si="4"/>
        <v>507.16</v>
      </c>
      <c r="N23" s="21">
        <f t="shared" si="5"/>
        <v>-21.62</v>
      </c>
    </row>
    <row r="24">
      <c r="A24" s="16"/>
      <c r="B24" s="17">
        <v>45756.0</v>
      </c>
      <c r="C24" s="18" t="s">
        <v>21</v>
      </c>
      <c r="D24" s="18">
        <v>126.0</v>
      </c>
      <c r="E24" s="18">
        <v>126.0</v>
      </c>
      <c r="F24" s="18">
        <v>122.8</v>
      </c>
      <c r="G24" s="19">
        <v>123.78</v>
      </c>
      <c r="K24" s="31">
        <v>4.0</v>
      </c>
      <c r="L24" s="20">
        <v>528.78</v>
      </c>
      <c r="M24" s="15">
        <f t="shared" si="4"/>
        <v>495.12</v>
      </c>
      <c r="N24" s="21">
        <f t="shared" si="5"/>
        <v>-33.66</v>
      </c>
    </row>
    <row r="25">
      <c r="A25" s="16"/>
      <c r="B25" s="17">
        <v>45757.0</v>
      </c>
      <c r="C25" s="18" t="s">
        <v>22</v>
      </c>
      <c r="D25" s="18">
        <v>133.0</v>
      </c>
      <c r="E25" s="18">
        <v>133.85</v>
      </c>
      <c r="F25" s="18">
        <v>130.56</v>
      </c>
      <c r="G25" s="19">
        <v>131.16</v>
      </c>
      <c r="K25" s="31">
        <v>4.0</v>
      </c>
      <c r="L25" s="20">
        <v>528.78</v>
      </c>
      <c r="M25" s="15">
        <f t="shared" si="4"/>
        <v>524.64</v>
      </c>
      <c r="N25" s="21">
        <f t="shared" si="5"/>
        <v>-4.14</v>
      </c>
    </row>
    <row r="26">
      <c r="A26" s="16"/>
      <c r="B26" s="17">
        <v>45758.0</v>
      </c>
      <c r="C26" s="18" t="s">
        <v>23</v>
      </c>
      <c r="D26" s="18">
        <v>126.58</v>
      </c>
      <c r="E26" s="18">
        <v>129.17</v>
      </c>
      <c r="F26" s="18">
        <v>125.34</v>
      </c>
      <c r="G26" s="19">
        <v>129.17</v>
      </c>
      <c r="K26" s="31">
        <v>4.0</v>
      </c>
      <c r="L26" s="20">
        <v>528.78</v>
      </c>
      <c r="M26" s="15">
        <f t="shared" si="4"/>
        <v>516.68</v>
      </c>
      <c r="N26" s="21">
        <f t="shared" si="5"/>
        <v>-12.1</v>
      </c>
    </row>
    <row r="27">
      <c r="A27" s="16"/>
      <c r="B27" s="17">
        <v>45761.0</v>
      </c>
      <c r="C27" s="18" t="s">
        <v>19</v>
      </c>
      <c r="D27" s="18">
        <v>128.74</v>
      </c>
      <c r="E27" s="18">
        <v>129.47</v>
      </c>
      <c r="F27" s="18">
        <v>128.61</v>
      </c>
      <c r="G27" s="19">
        <v>129.15</v>
      </c>
      <c r="K27" s="31">
        <v>4.0</v>
      </c>
      <c r="L27" s="20">
        <v>528.78</v>
      </c>
      <c r="M27" s="15">
        <f t="shared" si="4"/>
        <v>516.6</v>
      </c>
      <c r="N27" s="21">
        <f t="shared" si="5"/>
        <v>-12.18</v>
      </c>
    </row>
    <row r="28">
      <c r="A28" s="16"/>
      <c r="B28" s="17">
        <v>45762.0</v>
      </c>
      <c r="C28" s="18" t="s">
        <v>20</v>
      </c>
      <c r="D28" s="18">
        <v>128.95</v>
      </c>
      <c r="E28" s="18">
        <v>129.0</v>
      </c>
      <c r="F28" s="18">
        <v>127.55</v>
      </c>
      <c r="G28" s="19">
        <v>128.01</v>
      </c>
      <c r="K28" s="31">
        <v>4.0</v>
      </c>
      <c r="L28" s="20">
        <v>528.78</v>
      </c>
      <c r="M28" s="15">
        <f t="shared" si="4"/>
        <v>512.04</v>
      </c>
      <c r="N28" s="21">
        <f t="shared" si="5"/>
        <v>-16.74</v>
      </c>
    </row>
    <row r="29">
      <c r="A29" s="16"/>
      <c r="B29" s="17">
        <v>45763.0</v>
      </c>
      <c r="C29" s="18" t="s">
        <v>21</v>
      </c>
      <c r="D29" s="18">
        <v>127.89</v>
      </c>
      <c r="E29" s="18">
        <v>127.89</v>
      </c>
      <c r="F29" s="18">
        <v>126.59</v>
      </c>
      <c r="G29" s="19">
        <v>126.89</v>
      </c>
      <c r="K29" s="31">
        <v>4.0</v>
      </c>
      <c r="L29" s="20">
        <v>528.78</v>
      </c>
      <c r="M29" s="15">
        <f t="shared" si="4"/>
        <v>507.56</v>
      </c>
      <c r="N29" s="21">
        <f t="shared" si="5"/>
        <v>-21.22</v>
      </c>
    </row>
    <row r="30">
      <c r="A30" s="16"/>
      <c r="B30" s="17">
        <v>45764.0</v>
      </c>
      <c r="C30" s="18" t="s">
        <v>22</v>
      </c>
      <c r="D30" s="18">
        <v>126.29</v>
      </c>
      <c r="E30" s="18">
        <v>127.58</v>
      </c>
      <c r="F30" s="18">
        <v>125.8</v>
      </c>
      <c r="G30" s="19">
        <v>127.58</v>
      </c>
      <c r="K30" s="31">
        <v>4.0</v>
      </c>
      <c r="L30" s="20">
        <v>528.78</v>
      </c>
      <c r="M30" s="15">
        <f t="shared" si="4"/>
        <v>510.32</v>
      </c>
      <c r="N30" s="21">
        <f t="shared" si="5"/>
        <v>-18.46</v>
      </c>
    </row>
    <row r="31">
      <c r="A31" s="16"/>
      <c r="B31" s="17">
        <v>45769.0</v>
      </c>
      <c r="C31" s="18" t="s">
        <v>23</v>
      </c>
      <c r="D31" s="18">
        <v>126.31</v>
      </c>
      <c r="E31" s="18">
        <v>127.0</v>
      </c>
      <c r="F31" s="18">
        <v>123.3</v>
      </c>
      <c r="G31" s="19">
        <v>123.5</v>
      </c>
      <c r="K31" s="31">
        <v>4.0</v>
      </c>
      <c r="L31" s="20">
        <v>528.78</v>
      </c>
      <c r="M31" s="15">
        <f t="shared" si="4"/>
        <v>494</v>
      </c>
      <c r="N31" s="21">
        <f t="shared" si="5"/>
        <v>-34.78</v>
      </c>
    </row>
    <row r="32">
      <c r="A32" s="16"/>
      <c r="B32" s="17">
        <v>45770.0</v>
      </c>
      <c r="C32" s="18"/>
      <c r="D32" s="18">
        <v>128.58</v>
      </c>
      <c r="E32" s="18">
        <v>128.74</v>
      </c>
      <c r="F32" s="18">
        <v>127.54</v>
      </c>
      <c r="G32" s="19">
        <v>127.71</v>
      </c>
      <c r="K32" s="31">
        <v>4.0</v>
      </c>
      <c r="L32" s="20">
        <v>528.78</v>
      </c>
      <c r="M32" s="15">
        <f t="shared" si="4"/>
        <v>510.84</v>
      </c>
      <c r="N32" s="21">
        <f t="shared" si="5"/>
        <v>-17.94</v>
      </c>
    </row>
    <row r="33">
      <c r="A33" s="16"/>
      <c r="B33" s="17">
        <v>45771.0</v>
      </c>
      <c r="C33" s="18"/>
      <c r="D33" s="18">
        <v>128.83</v>
      </c>
      <c r="E33" s="18">
        <v>129.11</v>
      </c>
      <c r="F33" s="18">
        <v>128.42</v>
      </c>
      <c r="G33" s="19">
        <v>128.6</v>
      </c>
      <c r="K33" s="31">
        <v>4.0</v>
      </c>
      <c r="L33" s="20">
        <v>528.78</v>
      </c>
      <c r="M33" s="15">
        <f t="shared" si="4"/>
        <v>514.4</v>
      </c>
      <c r="N33" s="21">
        <f t="shared" si="5"/>
        <v>-14.38</v>
      </c>
    </row>
    <row r="34">
      <c r="A34" s="16"/>
      <c r="B34" s="17">
        <v>45775.0</v>
      </c>
      <c r="C34" s="18"/>
      <c r="D34" s="18">
        <v>130.97</v>
      </c>
      <c r="E34" s="18">
        <v>131.18</v>
      </c>
      <c r="F34" s="18">
        <v>130.34</v>
      </c>
      <c r="G34" s="19">
        <v>130.66</v>
      </c>
      <c r="K34" s="31">
        <v>4.0</v>
      </c>
      <c r="L34" s="20">
        <v>528.78</v>
      </c>
      <c r="M34" s="15">
        <f t="shared" si="4"/>
        <v>522.64</v>
      </c>
      <c r="N34" s="21">
        <f t="shared" si="5"/>
        <v>-6.14</v>
      </c>
    </row>
    <row r="35">
      <c r="A35" s="16"/>
      <c r="B35" s="17">
        <v>45776.0</v>
      </c>
      <c r="C35" s="18"/>
      <c r="D35" s="18">
        <v>130.98</v>
      </c>
      <c r="E35" s="18">
        <v>131.48</v>
      </c>
      <c r="F35" s="18">
        <v>130.82</v>
      </c>
      <c r="G35" s="19">
        <v>131.13</v>
      </c>
      <c r="K35" s="31">
        <v>4.0</v>
      </c>
      <c r="L35" s="20">
        <v>528.78</v>
      </c>
      <c r="M35" s="15">
        <f t="shared" si="4"/>
        <v>524.52</v>
      </c>
      <c r="N35" s="21">
        <f t="shared" si="5"/>
        <v>-4.26</v>
      </c>
    </row>
    <row r="36">
      <c r="A36" s="16"/>
      <c r="B36" s="17">
        <v>45777.0</v>
      </c>
      <c r="C36" s="18"/>
      <c r="D36" s="18">
        <v>132.03</v>
      </c>
      <c r="E36" s="18">
        <v>132.25</v>
      </c>
      <c r="F36" s="18">
        <v>131.21</v>
      </c>
      <c r="G36" s="19">
        <v>131.42</v>
      </c>
      <c r="K36" s="31">
        <v>4.0</v>
      </c>
      <c r="L36" s="20">
        <v>528.78</v>
      </c>
      <c r="M36" s="15">
        <f t="shared" si="4"/>
        <v>525.68</v>
      </c>
      <c r="N36" s="21">
        <f t="shared" si="5"/>
        <v>-3.1</v>
      </c>
    </row>
    <row r="37">
      <c r="A37" s="16"/>
      <c r="B37" s="17">
        <v>45778.0</v>
      </c>
      <c r="C37" s="18"/>
      <c r="D37" s="18">
        <v>132.61</v>
      </c>
      <c r="E37" s="18">
        <v>133.47</v>
      </c>
      <c r="F37" s="18">
        <v>132.61</v>
      </c>
      <c r="G37" s="19">
        <v>133.18</v>
      </c>
      <c r="K37" s="31">
        <v>4.0</v>
      </c>
      <c r="L37" s="20">
        <v>528.78</v>
      </c>
      <c r="M37" s="15">
        <f t="shared" si="4"/>
        <v>532.72</v>
      </c>
      <c r="N37" s="21">
        <f t="shared" si="5"/>
        <v>3.94</v>
      </c>
    </row>
    <row r="38">
      <c r="A38" s="16"/>
      <c r="B38" s="17">
        <v>45779.0</v>
      </c>
      <c r="C38" s="18"/>
      <c r="D38" s="18">
        <v>132.78</v>
      </c>
      <c r="E38" s="18">
        <v>133.6</v>
      </c>
      <c r="F38" s="18">
        <v>132.64</v>
      </c>
      <c r="G38" s="19">
        <v>133.24</v>
      </c>
      <c r="K38" s="31">
        <v>4.0</v>
      </c>
      <c r="L38" s="20">
        <v>528.78</v>
      </c>
      <c r="M38" s="15">
        <f t="shared" si="4"/>
        <v>532.96</v>
      </c>
      <c r="N38" s="21">
        <f t="shared" si="5"/>
        <v>4.18</v>
      </c>
    </row>
    <row r="39">
      <c r="A39" s="22"/>
      <c r="B39" s="23"/>
      <c r="C39" s="24"/>
      <c r="D39" s="24"/>
      <c r="E39" s="24"/>
      <c r="F39" s="24"/>
      <c r="G39" s="32"/>
      <c r="H39" s="25"/>
      <c r="I39" s="26"/>
      <c r="J39" s="26"/>
      <c r="K39" s="26"/>
      <c r="L39" s="25"/>
      <c r="M39" s="25"/>
      <c r="N39" s="27"/>
    </row>
    <row r="40">
      <c r="A40" s="28" t="s">
        <v>18</v>
      </c>
      <c r="B40" s="29">
        <v>45782.0</v>
      </c>
      <c r="C40" s="10"/>
      <c r="D40" s="10">
        <v>133.21</v>
      </c>
      <c r="E40" s="10">
        <v>133.46</v>
      </c>
      <c r="F40" s="10">
        <v>132.22</v>
      </c>
      <c r="G40" s="12">
        <v>132.52</v>
      </c>
      <c r="H40" s="12"/>
      <c r="I40" s="13">
        <v>1.0</v>
      </c>
      <c r="J40" s="13">
        <v>132.36</v>
      </c>
      <c r="K40" s="13">
        <f t="shared" ref="K40:L40" si="6">K22+I40</f>
        <v>5</v>
      </c>
      <c r="L40" s="12">
        <f t="shared" si="6"/>
        <v>661.14</v>
      </c>
      <c r="M40" s="12">
        <f t="shared" ref="M40:M63" si="7">K40*G40</f>
        <v>662.6</v>
      </c>
      <c r="N40" s="14">
        <f t="shared" ref="N40:N63" si="8">M40-L40</f>
        <v>1.46</v>
      </c>
    </row>
    <row r="41">
      <c r="A41" s="16"/>
      <c r="B41" s="17">
        <v>45783.0</v>
      </c>
      <c r="C41" s="18"/>
      <c r="D41" s="18">
        <v>132.92</v>
      </c>
      <c r="E41" s="18">
        <v>133.07</v>
      </c>
      <c r="F41" s="18">
        <v>132.56</v>
      </c>
      <c r="G41" s="33">
        <v>132.76</v>
      </c>
      <c r="K41" s="34">
        <v>5.0</v>
      </c>
      <c r="L41" s="20">
        <v>661.14</v>
      </c>
      <c r="M41" s="15">
        <f t="shared" si="7"/>
        <v>663.8</v>
      </c>
      <c r="N41" s="21">
        <f t="shared" si="8"/>
        <v>2.66</v>
      </c>
    </row>
    <row r="42">
      <c r="A42" s="16"/>
      <c r="B42" s="17">
        <v>45784.0</v>
      </c>
      <c r="C42" s="18"/>
      <c r="D42" s="18">
        <v>132.28</v>
      </c>
      <c r="E42" s="18">
        <v>132.53</v>
      </c>
      <c r="F42" s="18">
        <v>132.01</v>
      </c>
      <c r="G42" s="33">
        <v>132.26</v>
      </c>
      <c r="K42" s="34">
        <v>5.0</v>
      </c>
      <c r="L42" s="20">
        <v>661.14</v>
      </c>
      <c r="M42" s="15">
        <f t="shared" si="7"/>
        <v>661.3</v>
      </c>
      <c r="N42" s="21">
        <f t="shared" si="8"/>
        <v>0.16</v>
      </c>
    </row>
    <row r="43">
      <c r="A43" s="16"/>
      <c r="B43" s="17">
        <v>45785.0</v>
      </c>
      <c r="C43" s="18"/>
      <c r="D43" s="18">
        <v>132.76</v>
      </c>
      <c r="E43" s="18">
        <v>133.96</v>
      </c>
      <c r="F43" s="18">
        <v>132.76</v>
      </c>
      <c r="G43" s="33">
        <v>133.72</v>
      </c>
      <c r="K43" s="34">
        <v>5.0</v>
      </c>
      <c r="L43" s="20">
        <v>661.14</v>
      </c>
      <c r="M43" s="15">
        <f t="shared" si="7"/>
        <v>668.6</v>
      </c>
      <c r="N43" s="21">
        <f t="shared" si="8"/>
        <v>7.46</v>
      </c>
    </row>
    <row r="44">
      <c r="A44" s="35"/>
      <c r="B44" s="36">
        <v>45786.66666666667</v>
      </c>
      <c r="C44" s="19"/>
      <c r="D44" s="19">
        <v>134.17</v>
      </c>
      <c r="E44" s="19">
        <v>134.9</v>
      </c>
      <c r="F44" s="19">
        <v>134.14</v>
      </c>
      <c r="G44" s="33">
        <v>134.5</v>
      </c>
      <c r="K44" s="34">
        <v>5.0</v>
      </c>
      <c r="L44" s="20">
        <v>661.14</v>
      </c>
      <c r="M44" s="15">
        <f t="shared" si="7"/>
        <v>672.5</v>
      </c>
      <c r="N44" s="21">
        <f t="shared" si="8"/>
        <v>11.36</v>
      </c>
    </row>
    <row r="45">
      <c r="A45" s="35"/>
      <c r="B45" s="36">
        <v>45789.66666666667</v>
      </c>
      <c r="C45" s="19"/>
      <c r="D45" s="19">
        <v>135.34</v>
      </c>
      <c r="E45" s="19">
        <v>135.5</v>
      </c>
      <c r="F45" s="19">
        <v>135.16</v>
      </c>
      <c r="G45" s="33">
        <v>135.23</v>
      </c>
      <c r="K45" s="34">
        <v>5.0</v>
      </c>
      <c r="L45" s="20">
        <v>661.14</v>
      </c>
      <c r="M45" s="15">
        <f t="shared" si="7"/>
        <v>676.15</v>
      </c>
      <c r="N45" s="21">
        <f t="shared" si="8"/>
        <v>15.01</v>
      </c>
    </row>
    <row r="46">
      <c r="A46" s="35"/>
      <c r="B46" s="36">
        <v>45790.66666666667</v>
      </c>
      <c r="C46" s="19"/>
      <c r="D46" s="19">
        <v>138.01</v>
      </c>
      <c r="E46" s="19">
        <v>138.19</v>
      </c>
      <c r="F46" s="19">
        <v>136.85</v>
      </c>
      <c r="G46" s="33">
        <v>137.23</v>
      </c>
      <c r="K46" s="34">
        <v>5.0</v>
      </c>
      <c r="L46" s="20">
        <v>661.14</v>
      </c>
      <c r="M46" s="15">
        <f t="shared" si="7"/>
        <v>686.15</v>
      </c>
      <c r="N46" s="21">
        <f t="shared" si="8"/>
        <v>25.01</v>
      </c>
    </row>
    <row r="47">
      <c r="A47" s="35"/>
      <c r="B47" s="36">
        <v>45791.66666666667</v>
      </c>
      <c r="C47" s="19"/>
      <c r="D47" s="19">
        <v>137.28</v>
      </c>
      <c r="E47" s="19">
        <v>137.78</v>
      </c>
      <c r="F47" s="19">
        <v>136.6</v>
      </c>
      <c r="G47" s="33">
        <v>137.19</v>
      </c>
      <c r="K47" s="34">
        <v>5.0</v>
      </c>
      <c r="L47" s="20">
        <v>661.14</v>
      </c>
      <c r="M47" s="15">
        <f t="shared" si="7"/>
        <v>685.95</v>
      </c>
      <c r="N47" s="21">
        <f t="shared" si="8"/>
        <v>24.81</v>
      </c>
    </row>
    <row r="48">
      <c r="A48" s="35"/>
      <c r="B48" s="36">
        <v>45792.66666666667</v>
      </c>
      <c r="C48" s="19"/>
      <c r="D48" s="19">
        <v>137.78</v>
      </c>
      <c r="E48" s="19">
        <v>137.93</v>
      </c>
      <c r="F48" s="19">
        <v>137.31</v>
      </c>
      <c r="G48" s="33">
        <v>137.62</v>
      </c>
      <c r="K48" s="34">
        <v>5.0</v>
      </c>
      <c r="L48" s="20">
        <v>661.14</v>
      </c>
      <c r="M48" s="15">
        <f t="shared" si="7"/>
        <v>688.1</v>
      </c>
      <c r="N48" s="21">
        <f t="shared" si="8"/>
        <v>26.96</v>
      </c>
    </row>
    <row r="49">
      <c r="A49" s="35"/>
      <c r="B49" s="36">
        <v>45793.66666666667</v>
      </c>
      <c r="C49" s="19"/>
      <c r="D49" s="19">
        <v>139.28</v>
      </c>
      <c r="E49" s="19">
        <v>139.42</v>
      </c>
      <c r="F49" s="19">
        <v>138.62</v>
      </c>
      <c r="G49" s="33">
        <v>138.72</v>
      </c>
      <c r="K49" s="34">
        <v>5.0</v>
      </c>
      <c r="L49" s="20">
        <v>661.14</v>
      </c>
      <c r="M49" s="15">
        <f t="shared" si="7"/>
        <v>693.6</v>
      </c>
      <c r="N49" s="21">
        <f t="shared" si="8"/>
        <v>32.46</v>
      </c>
    </row>
    <row r="50">
      <c r="A50" s="35"/>
      <c r="B50" s="36">
        <v>45796.66666666667</v>
      </c>
      <c r="C50" s="19"/>
      <c r="D50" s="19">
        <v>139.37</v>
      </c>
      <c r="E50" s="19">
        <v>139.4</v>
      </c>
      <c r="F50" s="19">
        <v>138.69</v>
      </c>
      <c r="G50" s="33">
        <v>139.06</v>
      </c>
      <c r="K50" s="34">
        <v>5.0</v>
      </c>
      <c r="L50" s="20">
        <v>661.14</v>
      </c>
      <c r="M50" s="15">
        <f t="shared" si="7"/>
        <v>695.3</v>
      </c>
      <c r="N50" s="21">
        <f t="shared" si="8"/>
        <v>34.16</v>
      </c>
    </row>
    <row r="51">
      <c r="A51" s="35"/>
      <c r="B51" s="36">
        <v>45797.66666666667</v>
      </c>
      <c r="C51" s="19"/>
      <c r="D51" s="19">
        <v>139.49</v>
      </c>
      <c r="E51" s="19">
        <v>140.11</v>
      </c>
      <c r="F51" s="19">
        <v>139.26</v>
      </c>
      <c r="G51" s="33">
        <v>139.66</v>
      </c>
      <c r="K51" s="34">
        <v>5.0</v>
      </c>
      <c r="L51" s="20">
        <v>661.14</v>
      </c>
      <c r="M51" s="15">
        <f t="shared" si="7"/>
        <v>698.3</v>
      </c>
      <c r="N51" s="21">
        <f t="shared" si="8"/>
        <v>37.16</v>
      </c>
    </row>
    <row r="52">
      <c r="A52" s="35"/>
      <c r="B52" s="36">
        <v>45798.66666666667</v>
      </c>
      <c r="C52" s="19"/>
      <c r="D52" s="19">
        <v>139.88</v>
      </c>
      <c r="E52" s="19">
        <v>139.99</v>
      </c>
      <c r="F52" s="19">
        <v>138.95</v>
      </c>
      <c r="G52" s="33">
        <v>138.98</v>
      </c>
      <c r="K52" s="34">
        <v>5.0</v>
      </c>
      <c r="L52" s="20">
        <v>661.14</v>
      </c>
      <c r="M52" s="15">
        <f t="shared" si="7"/>
        <v>694.9</v>
      </c>
      <c r="N52" s="21">
        <f t="shared" si="8"/>
        <v>33.76</v>
      </c>
    </row>
    <row r="53">
      <c r="A53" s="35"/>
      <c r="B53" s="36">
        <v>45799.66666666667</v>
      </c>
      <c r="C53" s="19"/>
      <c r="D53" s="19">
        <v>137.98</v>
      </c>
      <c r="E53" s="19">
        <v>138.25</v>
      </c>
      <c r="F53" s="19">
        <v>137.55</v>
      </c>
      <c r="G53" s="33">
        <v>137.89</v>
      </c>
      <c r="K53" s="34">
        <v>5.0</v>
      </c>
      <c r="L53" s="20">
        <v>661.14</v>
      </c>
      <c r="M53" s="15">
        <f t="shared" si="7"/>
        <v>689.45</v>
      </c>
      <c r="N53" s="21">
        <f t="shared" si="8"/>
        <v>28.31</v>
      </c>
    </row>
    <row r="54">
      <c r="A54" s="35"/>
      <c r="B54" s="36">
        <v>45800.66666666667</v>
      </c>
      <c r="C54" s="19"/>
      <c r="D54" s="19">
        <v>138.39</v>
      </c>
      <c r="E54" s="19">
        <v>138.48</v>
      </c>
      <c r="F54" s="19">
        <v>137.73</v>
      </c>
      <c r="G54" s="33">
        <v>137.73</v>
      </c>
      <c r="K54" s="34">
        <v>5.0</v>
      </c>
      <c r="L54" s="20">
        <v>661.14</v>
      </c>
      <c r="M54" s="15">
        <f t="shared" si="7"/>
        <v>688.65</v>
      </c>
      <c r="N54" s="21">
        <f t="shared" si="8"/>
        <v>27.51</v>
      </c>
    </row>
    <row r="55">
      <c r="A55" s="35"/>
      <c r="B55" s="36">
        <v>45803.66666666667</v>
      </c>
      <c r="C55" s="19"/>
      <c r="D55" s="19">
        <v>137.12</v>
      </c>
      <c r="E55" s="19">
        <v>137.36</v>
      </c>
      <c r="F55" s="19">
        <v>136.46</v>
      </c>
      <c r="G55" s="33">
        <v>136.73</v>
      </c>
      <c r="K55" s="34">
        <v>5.0</v>
      </c>
      <c r="L55" s="20">
        <v>661.14</v>
      </c>
      <c r="M55" s="15">
        <f t="shared" si="7"/>
        <v>683.65</v>
      </c>
      <c r="N55" s="21">
        <f t="shared" si="8"/>
        <v>22.51</v>
      </c>
    </row>
    <row r="56">
      <c r="A56" s="35"/>
      <c r="B56" s="36">
        <v>45804.66666666667</v>
      </c>
      <c r="C56" s="19"/>
      <c r="D56" s="19">
        <v>137.61</v>
      </c>
      <c r="E56" s="19">
        <v>138.0</v>
      </c>
      <c r="F56" s="19">
        <v>137.33</v>
      </c>
      <c r="G56" s="33">
        <v>137.76</v>
      </c>
      <c r="K56" s="34">
        <v>5.0</v>
      </c>
      <c r="L56" s="20">
        <v>661.14</v>
      </c>
      <c r="M56" s="15">
        <f t="shared" si="7"/>
        <v>688.8</v>
      </c>
      <c r="N56" s="21">
        <f t="shared" si="8"/>
        <v>27.66</v>
      </c>
    </row>
    <row r="57">
      <c r="A57" s="35"/>
      <c r="B57" s="36">
        <v>45805.66666666667</v>
      </c>
      <c r="C57" s="19"/>
      <c r="D57" s="19">
        <v>139.42</v>
      </c>
      <c r="E57" s="19">
        <v>139.79</v>
      </c>
      <c r="F57" s="19">
        <v>139.18</v>
      </c>
      <c r="G57" s="33">
        <v>139.41</v>
      </c>
      <c r="K57" s="34">
        <v>5.0</v>
      </c>
      <c r="L57" s="20">
        <v>661.14</v>
      </c>
      <c r="M57" s="15">
        <f t="shared" si="7"/>
        <v>697.05</v>
      </c>
      <c r="N57" s="21">
        <f t="shared" si="8"/>
        <v>35.91</v>
      </c>
    </row>
    <row r="58">
      <c r="A58" s="35"/>
      <c r="B58" s="36">
        <v>45806.66666666667</v>
      </c>
      <c r="C58" s="19"/>
      <c r="D58" s="19">
        <v>140.78</v>
      </c>
      <c r="E58" s="19">
        <v>141.3</v>
      </c>
      <c r="F58" s="19">
        <v>140.42</v>
      </c>
      <c r="G58" s="33">
        <v>140.9</v>
      </c>
      <c r="K58" s="34">
        <v>5.0</v>
      </c>
      <c r="L58" s="20">
        <v>661.14</v>
      </c>
      <c r="M58" s="15">
        <f t="shared" si="7"/>
        <v>704.5</v>
      </c>
      <c r="N58" s="21">
        <f t="shared" si="8"/>
        <v>43.36</v>
      </c>
    </row>
    <row r="59">
      <c r="A59" s="35"/>
      <c r="B59" s="36">
        <v>45807.66666666667</v>
      </c>
      <c r="C59" s="19"/>
      <c r="D59" s="19">
        <v>138.83</v>
      </c>
      <c r="E59" s="19">
        <v>139.41</v>
      </c>
      <c r="F59" s="19">
        <v>138.65</v>
      </c>
      <c r="G59" s="33">
        <v>139.41</v>
      </c>
      <c r="K59" s="34">
        <v>5.0</v>
      </c>
      <c r="L59" s="20">
        <v>661.14</v>
      </c>
      <c r="M59" s="15">
        <f t="shared" si="7"/>
        <v>697.05</v>
      </c>
      <c r="N59" s="21">
        <f t="shared" si="8"/>
        <v>35.91</v>
      </c>
    </row>
    <row r="60">
      <c r="A60" s="35"/>
      <c r="B60" s="36">
        <v>45810.66666666667</v>
      </c>
      <c r="C60" s="19"/>
      <c r="D60" s="19">
        <v>138.82</v>
      </c>
      <c r="E60" s="19">
        <v>138.85</v>
      </c>
      <c r="F60" s="19">
        <v>138.17</v>
      </c>
      <c r="G60" s="33">
        <v>138.24</v>
      </c>
      <c r="K60" s="34">
        <v>5.0</v>
      </c>
      <c r="L60" s="20">
        <v>661.14</v>
      </c>
      <c r="M60" s="15">
        <f t="shared" si="7"/>
        <v>691.2</v>
      </c>
      <c r="N60" s="21">
        <f t="shared" si="8"/>
        <v>30.06</v>
      </c>
    </row>
    <row r="61">
      <c r="A61" s="35"/>
      <c r="B61" s="36">
        <v>45811.66666666667</v>
      </c>
      <c r="C61" s="19"/>
      <c r="D61" s="19">
        <v>138.56</v>
      </c>
      <c r="E61" s="19">
        <v>139.22</v>
      </c>
      <c r="F61" s="19">
        <v>138.56</v>
      </c>
      <c r="G61" s="33">
        <v>139.18</v>
      </c>
      <c r="K61" s="34">
        <v>5.0</v>
      </c>
      <c r="L61" s="20">
        <v>661.14</v>
      </c>
      <c r="M61" s="15">
        <f t="shared" si="7"/>
        <v>695.9</v>
      </c>
      <c r="N61" s="21">
        <f t="shared" si="8"/>
        <v>34.76</v>
      </c>
    </row>
    <row r="62">
      <c r="A62" s="35"/>
      <c r="B62" s="36">
        <v>45812.66666666667</v>
      </c>
      <c r="C62" s="19"/>
      <c r="D62" s="19">
        <v>139.95</v>
      </c>
      <c r="E62" s="19">
        <v>140.22</v>
      </c>
      <c r="F62" s="19">
        <v>139.54</v>
      </c>
      <c r="G62" s="33">
        <v>140.11</v>
      </c>
      <c r="K62" s="34">
        <v>5.0</v>
      </c>
      <c r="L62" s="20">
        <v>661.14</v>
      </c>
      <c r="M62" s="15">
        <f t="shared" si="7"/>
        <v>700.55</v>
      </c>
      <c r="N62" s="21">
        <f t="shared" si="8"/>
        <v>39.41</v>
      </c>
    </row>
    <row r="63">
      <c r="A63" s="35"/>
      <c r="B63" s="36">
        <v>45813.66666666667</v>
      </c>
      <c r="C63" s="19"/>
      <c r="D63" s="19">
        <v>139.62</v>
      </c>
      <c r="E63" s="19">
        <v>139.62</v>
      </c>
      <c r="F63" s="19">
        <v>139.2</v>
      </c>
      <c r="G63" s="33">
        <v>139.39</v>
      </c>
      <c r="K63" s="34">
        <v>5.0</v>
      </c>
      <c r="L63" s="20">
        <v>661.14</v>
      </c>
      <c r="M63" s="15">
        <f t="shared" si="7"/>
        <v>696.95</v>
      </c>
      <c r="N63" s="21">
        <f t="shared" si="8"/>
        <v>35.81</v>
      </c>
    </row>
    <row r="64">
      <c r="A64" s="37"/>
      <c r="B64" s="38"/>
      <c r="C64" s="32"/>
      <c r="D64" s="32"/>
      <c r="E64" s="32"/>
      <c r="F64" s="32"/>
      <c r="G64" s="25"/>
      <c r="H64" s="25"/>
      <c r="I64" s="26"/>
      <c r="J64" s="26"/>
      <c r="K64" s="26"/>
      <c r="L64" s="25"/>
      <c r="M64" s="25"/>
      <c r="N64" s="27"/>
    </row>
    <row r="65">
      <c r="A65" s="8" t="s">
        <v>18</v>
      </c>
      <c r="B65" s="39">
        <v>45814.66666666667</v>
      </c>
      <c r="C65" s="40" t="s">
        <v>23</v>
      </c>
      <c r="D65" s="11">
        <v>138.93</v>
      </c>
      <c r="E65" s="11">
        <v>139.38</v>
      </c>
      <c r="F65" s="11">
        <v>138.66</v>
      </c>
      <c r="G65" s="12">
        <v>139.29</v>
      </c>
      <c r="H65" s="12"/>
      <c r="I65" s="13">
        <v>1.0</v>
      </c>
      <c r="J65" s="13">
        <v>139.1</v>
      </c>
      <c r="K65" s="20">
        <f t="shared" ref="K65:L65" si="9">K40+I65</f>
        <v>6</v>
      </c>
      <c r="L65" s="15">
        <f t="shared" si="9"/>
        <v>800.24</v>
      </c>
      <c r="M65" s="15">
        <f t="shared" ref="M65:M69" si="10">K65*G65</f>
        <v>835.74</v>
      </c>
      <c r="N65" s="21">
        <f t="shared" ref="N65:N69" si="11">M65-L65</f>
        <v>35.5</v>
      </c>
    </row>
    <row r="66">
      <c r="A66" s="41"/>
      <c r="B66" s="36">
        <v>45818.66666666667</v>
      </c>
      <c r="C66" s="34" t="s">
        <v>20</v>
      </c>
      <c r="D66" s="36"/>
      <c r="E66" s="36"/>
      <c r="F66" s="36"/>
      <c r="G66" s="19">
        <v>139.85</v>
      </c>
      <c r="K66" s="20">
        <v>6.0</v>
      </c>
      <c r="L66" s="20">
        <v>800.24</v>
      </c>
      <c r="M66" s="15">
        <f t="shared" si="10"/>
        <v>839.1</v>
      </c>
      <c r="N66" s="21">
        <f t="shared" si="11"/>
        <v>38.86</v>
      </c>
    </row>
    <row r="67">
      <c r="A67" s="41"/>
      <c r="B67" s="36">
        <v>45819.66666666667</v>
      </c>
      <c r="C67" s="34" t="s">
        <v>21</v>
      </c>
      <c r="D67" s="36"/>
      <c r="E67" s="36"/>
      <c r="F67" s="36"/>
      <c r="G67" s="19">
        <v>139.84</v>
      </c>
      <c r="K67" s="20">
        <v>6.0</v>
      </c>
      <c r="L67" s="20">
        <v>800.24</v>
      </c>
      <c r="M67" s="15">
        <f t="shared" si="10"/>
        <v>839.04</v>
      </c>
      <c r="N67" s="21">
        <f t="shared" si="11"/>
        <v>38.8</v>
      </c>
    </row>
    <row r="68">
      <c r="A68" s="41"/>
      <c r="B68" s="36">
        <v>45820.66666666667</v>
      </c>
      <c r="C68" s="34" t="s">
        <v>22</v>
      </c>
      <c r="D68" s="36"/>
      <c r="E68" s="36"/>
      <c r="F68" s="36"/>
      <c r="G68" s="19">
        <v>140.1</v>
      </c>
      <c r="K68" s="20">
        <v>6.0</v>
      </c>
      <c r="L68" s="20">
        <v>800.24</v>
      </c>
      <c r="M68" s="15">
        <f t="shared" si="10"/>
        <v>840.6</v>
      </c>
      <c r="N68" s="21">
        <f t="shared" si="11"/>
        <v>40.36</v>
      </c>
    </row>
    <row r="69">
      <c r="A69" s="41"/>
      <c r="B69" s="36">
        <v>45821.66666666667</v>
      </c>
      <c r="C69" s="34" t="s">
        <v>23</v>
      </c>
      <c r="D69" s="36"/>
      <c r="E69" s="36"/>
      <c r="F69" s="36"/>
      <c r="G69" s="19">
        <v>139.45</v>
      </c>
      <c r="K69" s="20">
        <v>6.0</v>
      </c>
      <c r="L69" s="20">
        <v>800.24</v>
      </c>
      <c r="M69" s="15">
        <f t="shared" si="10"/>
        <v>836.7</v>
      </c>
      <c r="N69" s="21">
        <f t="shared" si="11"/>
        <v>36.46</v>
      </c>
    </row>
    <row r="70">
      <c r="A70" s="42"/>
      <c r="B70" s="38"/>
      <c r="C70" s="38"/>
      <c r="D70" s="38"/>
      <c r="E70" s="38"/>
      <c r="F70" s="38"/>
      <c r="G70" s="32"/>
      <c r="H70" s="25"/>
      <c r="I70" s="25"/>
      <c r="J70" s="25"/>
      <c r="K70" s="26"/>
      <c r="L70" s="26"/>
      <c r="M70" s="25"/>
      <c r="N70" s="27"/>
    </row>
    <row r="71">
      <c r="A71" s="41"/>
      <c r="B71" s="36">
        <v>45824.66666666667</v>
      </c>
      <c r="C71" s="34" t="s">
        <v>19</v>
      </c>
      <c r="D71" s="36"/>
      <c r="E71" s="36"/>
      <c r="F71" s="36"/>
      <c r="G71" s="19">
        <v>139.83</v>
      </c>
      <c r="K71" s="20">
        <v>6.0</v>
      </c>
      <c r="L71" s="20">
        <v>800.24</v>
      </c>
      <c r="M71" s="15">
        <f t="shared" ref="M71:M75" si="12">K71*G71</f>
        <v>838.98</v>
      </c>
      <c r="N71" s="21">
        <f t="shared" ref="N71:N75" si="13">M71-L71</f>
        <v>38.74</v>
      </c>
    </row>
    <row r="72">
      <c r="A72" s="41"/>
      <c r="B72" s="36">
        <v>45825.66666666667</v>
      </c>
      <c r="C72" s="34" t="s">
        <v>20</v>
      </c>
      <c r="D72" s="36"/>
      <c r="E72" s="36"/>
      <c r="F72" s="36"/>
      <c r="G72" s="19">
        <v>139.43</v>
      </c>
      <c r="K72" s="20">
        <v>6.0</v>
      </c>
      <c r="L72" s="20">
        <v>800.24</v>
      </c>
      <c r="M72" s="15">
        <f t="shared" si="12"/>
        <v>836.58</v>
      </c>
      <c r="N72" s="21">
        <f t="shared" si="13"/>
        <v>36.34</v>
      </c>
    </row>
    <row r="73">
      <c r="A73" s="41"/>
      <c r="B73" s="36">
        <v>45826.66666666667</v>
      </c>
      <c r="C73" s="34" t="s">
        <v>21</v>
      </c>
      <c r="D73" s="36"/>
      <c r="E73" s="36"/>
      <c r="F73" s="36"/>
      <c r="G73" s="19">
        <v>139.51</v>
      </c>
      <c r="K73" s="20">
        <v>6.0</v>
      </c>
      <c r="L73" s="20">
        <v>800.24</v>
      </c>
      <c r="M73" s="15">
        <f t="shared" si="12"/>
        <v>837.06</v>
      </c>
      <c r="N73" s="21">
        <f t="shared" si="13"/>
        <v>36.82</v>
      </c>
    </row>
    <row r="74">
      <c r="A74" s="41"/>
      <c r="B74" s="36">
        <v>45827.66666666667</v>
      </c>
      <c r="C74" s="34" t="s">
        <v>22</v>
      </c>
      <c r="D74" s="36"/>
      <c r="E74" s="36"/>
      <c r="F74" s="36"/>
      <c r="G74" s="19">
        <v>139.54</v>
      </c>
      <c r="K74" s="20">
        <v>6.0</v>
      </c>
      <c r="L74" s="20">
        <v>800.24</v>
      </c>
      <c r="M74" s="15">
        <f t="shared" si="12"/>
        <v>837.24</v>
      </c>
      <c r="N74" s="21">
        <f t="shared" si="13"/>
        <v>37</v>
      </c>
    </row>
    <row r="75">
      <c r="A75" s="41"/>
      <c r="B75" s="36">
        <v>45828.66666666667</v>
      </c>
      <c r="C75" s="34" t="s">
        <v>23</v>
      </c>
      <c r="D75" s="36"/>
      <c r="E75" s="36"/>
      <c r="F75" s="36"/>
      <c r="G75" s="19">
        <v>139.4</v>
      </c>
      <c r="K75" s="20">
        <v>6.0</v>
      </c>
      <c r="L75" s="20">
        <v>800.24</v>
      </c>
      <c r="M75" s="15">
        <f t="shared" si="12"/>
        <v>836.4</v>
      </c>
      <c r="N75" s="21">
        <f t="shared" si="13"/>
        <v>36.16</v>
      </c>
    </row>
    <row r="76">
      <c r="A76" s="42"/>
      <c r="B76" s="38"/>
      <c r="C76" s="38"/>
      <c r="D76" s="38"/>
      <c r="E76" s="38"/>
      <c r="F76" s="38"/>
      <c r="G76" s="32"/>
      <c r="H76" s="25"/>
      <c r="I76" s="25"/>
      <c r="J76" s="25"/>
      <c r="K76" s="26"/>
      <c r="L76" s="26"/>
      <c r="M76" s="25"/>
      <c r="N76" s="27"/>
    </row>
    <row r="77">
      <c r="A77" s="41"/>
      <c r="B77" s="36">
        <v>45831.66666666667</v>
      </c>
      <c r="C77" s="34" t="s">
        <v>19</v>
      </c>
      <c r="D77" s="19">
        <v>139.35</v>
      </c>
      <c r="E77" s="19">
        <v>140.44</v>
      </c>
      <c r="F77" s="19">
        <v>139.26</v>
      </c>
      <c r="G77" s="19">
        <v>140.24</v>
      </c>
      <c r="K77" s="20">
        <v>6.0</v>
      </c>
      <c r="L77" s="20">
        <v>800.24</v>
      </c>
      <c r="M77" s="15">
        <f t="shared" ref="M77:M81" si="14">K77*G77</f>
        <v>841.44</v>
      </c>
      <c r="N77" s="21">
        <f t="shared" ref="N77:N81" si="15">M77-L77</f>
        <v>41.2</v>
      </c>
    </row>
    <row r="78">
      <c r="A78" s="41"/>
      <c r="B78" s="36">
        <v>45832.66666666667</v>
      </c>
      <c r="C78" s="34" t="s">
        <v>20</v>
      </c>
      <c r="D78" s="19">
        <v>140.99</v>
      </c>
      <c r="E78" s="19">
        <v>141.48</v>
      </c>
      <c r="F78" s="19">
        <v>140.76</v>
      </c>
      <c r="G78" s="19">
        <v>141.18</v>
      </c>
      <c r="K78" s="20">
        <v>6.0</v>
      </c>
      <c r="L78" s="20">
        <v>800.24</v>
      </c>
      <c r="M78" s="15">
        <f t="shared" si="14"/>
        <v>847.08</v>
      </c>
      <c r="N78" s="21">
        <f t="shared" si="15"/>
        <v>46.84</v>
      </c>
    </row>
    <row r="79">
      <c r="A79" s="41"/>
      <c r="B79" s="36">
        <v>45833.66666666667</v>
      </c>
      <c r="C79" s="34" t="s">
        <v>21</v>
      </c>
      <c r="D79" s="19">
        <v>141.7</v>
      </c>
      <c r="E79" s="19">
        <v>141.83</v>
      </c>
      <c r="F79" s="19">
        <v>141.36</v>
      </c>
      <c r="G79" s="19">
        <v>141.67</v>
      </c>
      <c r="K79" s="20">
        <v>6.0</v>
      </c>
      <c r="L79" s="20">
        <v>800.24</v>
      </c>
      <c r="M79" s="15">
        <f t="shared" si="14"/>
        <v>850.02</v>
      </c>
      <c r="N79" s="21">
        <f t="shared" si="15"/>
        <v>49.78</v>
      </c>
    </row>
    <row r="80">
      <c r="A80" s="41"/>
      <c r="B80" s="36">
        <v>45834.0</v>
      </c>
      <c r="C80" s="34" t="s">
        <v>22</v>
      </c>
      <c r="D80" s="19">
        <v>141.2</v>
      </c>
      <c r="E80" s="19">
        <v>141.4</v>
      </c>
      <c r="F80" s="19">
        <v>140.85</v>
      </c>
      <c r="G80" s="19">
        <v>141.34</v>
      </c>
      <c r="K80" s="20">
        <v>6.0</v>
      </c>
      <c r="L80" s="20">
        <v>800.24</v>
      </c>
      <c r="M80" s="15">
        <f t="shared" si="14"/>
        <v>848.04</v>
      </c>
      <c r="N80" s="21">
        <f t="shared" si="15"/>
        <v>47.8</v>
      </c>
    </row>
    <row r="81">
      <c r="A81" s="41"/>
      <c r="B81" s="36">
        <v>45835.0</v>
      </c>
      <c r="C81" s="34" t="s">
        <v>23</v>
      </c>
      <c r="D81" s="19">
        <v>141.6</v>
      </c>
      <c r="E81" s="19">
        <v>141.99</v>
      </c>
      <c r="F81" s="19">
        <v>141.52</v>
      </c>
      <c r="G81" s="19">
        <v>141.95</v>
      </c>
      <c r="K81" s="20">
        <v>6.0</v>
      </c>
      <c r="L81" s="20">
        <v>800.24</v>
      </c>
      <c r="M81" s="15">
        <f t="shared" si="14"/>
        <v>851.7</v>
      </c>
      <c r="N81" s="21">
        <f t="shared" si="15"/>
        <v>51.46</v>
      </c>
    </row>
    <row r="82">
      <c r="A82" s="42"/>
      <c r="B82" s="25"/>
      <c r="C82" s="43" t="s">
        <v>24</v>
      </c>
      <c r="D82" s="44"/>
      <c r="E82" s="45" t="s">
        <v>25</v>
      </c>
      <c r="F82" s="46">
        <f>MIN(F77:F81)</f>
        <v>139.26</v>
      </c>
      <c r="G82" s="25"/>
      <c r="H82" s="25"/>
      <c r="I82" s="25"/>
      <c r="J82" s="25"/>
      <c r="K82" s="25"/>
      <c r="L82" s="25"/>
      <c r="M82" s="25"/>
      <c r="N82" s="27"/>
    </row>
    <row r="83">
      <c r="A83" s="41"/>
      <c r="B83" s="36">
        <v>45845.66666666667</v>
      </c>
      <c r="C83" s="34" t="s">
        <v>19</v>
      </c>
      <c r="D83" s="19">
        <v>142.48</v>
      </c>
      <c r="E83" s="19">
        <v>143.36</v>
      </c>
      <c r="F83" s="19">
        <v>142.45</v>
      </c>
      <c r="G83" s="19">
        <v>143.23</v>
      </c>
      <c r="K83" s="20">
        <v>6.0</v>
      </c>
      <c r="L83" s="20">
        <v>800.24</v>
      </c>
      <c r="M83" s="15">
        <f t="shared" ref="M83:M87" si="16">K83*G83</f>
        <v>859.38</v>
      </c>
      <c r="N83" s="21">
        <f t="shared" ref="N83:N87" si="17">M83-L83</f>
        <v>59.14</v>
      </c>
    </row>
    <row r="84">
      <c r="A84" s="41"/>
      <c r="B84" s="36">
        <v>45846.66666666667</v>
      </c>
      <c r="C84" s="34" t="s">
        <v>20</v>
      </c>
      <c r="D84" s="19">
        <v>142.83</v>
      </c>
      <c r="E84" s="19">
        <v>142.98</v>
      </c>
      <c r="F84" s="19">
        <v>141.87</v>
      </c>
      <c r="G84" s="19">
        <v>142.4</v>
      </c>
      <c r="K84" s="20">
        <v>6.0</v>
      </c>
      <c r="L84" s="20">
        <v>800.24</v>
      </c>
      <c r="M84" s="15">
        <f t="shared" si="16"/>
        <v>854.4</v>
      </c>
      <c r="N84" s="21">
        <f t="shared" si="17"/>
        <v>54.16</v>
      </c>
    </row>
    <row r="85">
      <c r="A85" s="41"/>
      <c r="B85" s="36">
        <v>45847.66666666667</v>
      </c>
      <c r="C85" s="34" t="s">
        <v>21</v>
      </c>
      <c r="D85" s="19">
        <v>142.6</v>
      </c>
      <c r="E85" s="19">
        <v>142.84</v>
      </c>
      <c r="F85" s="19">
        <v>141.95</v>
      </c>
      <c r="G85" s="19">
        <v>142.16</v>
      </c>
      <c r="K85" s="20">
        <v>6.0</v>
      </c>
      <c r="L85" s="20">
        <v>800.24</v>
      </c>
      <c r="M85" s="15">
        <f t="shared" si="16"/>
        <v>852.96</v>
      </c>
      <c r="N85" s="21">
        <f t="shared" si="17"/>
        <v>52.72</v>
      </c>
    </row>
    <row r="86">
      <c r="A86" s="41"/>
      <c r="B86" s="36">
        <v>45848.66666666667</v>
      </c>
      <c r="C86" s="34" t="s">
        <v>22</v>
      </c>
      <c r="D86" s="19">
        <v>143.05</v>
      </c>
      <c r="E86" s="19">
        <v>143.16</v>
      </c>
      <c r="F86" s="19">
        <v>142.52</v>
      </c>
      <c r="G86" s="19">
        <v>142.53</v>
      </c>
      <c r="K86" s="20">
        <v>6.0</v>
      </c>
      <c r="L86" s="20">
        <v>800.24</v>
      </c>
      <c r="M86" s="15">
        <f t="shared" si="16"/>
        <v>855.18</v>
      </c>
      <c r="N86" s="21">
        <f t="shared" si="17"/>
        <v>54.94</v>
      </c>
    </row>
    <row r="87">
      <c r="A87" s="41"/>
      <c r="B87" s="36">
        <v>45849.66666666667</v>
      </c>
      <c r="C87" s="34" t="s">
        <v>23</v>
      </c>
      <c r="D87" s="19">
        <v>142.47</v>
      </c>
      <c r="E87" s="19">
        <v>142.47</v>
      </c>
      <c r="F87" s="19">
        <v>141.72</v>
      </c>
      <c r="G87" s="19">
        <v>141.97</v>
      </c>
      <c r="K87" s="20">
        <v>6.0</v>
      </c>
      <c r="L87" s="20">
        <v>800.24</v>
      </c>
      <c r="M87" s="15">
        <f t="shared" si="16"/>
        <v>851.82</v>
      </c>
      <c r="N87" s="21">
        <f t="shared" si="17"/>
        <v>51.58</v>
      </c>
    </row>
    <row r="88">
      <c r="A88" s="42"/>
      <c r="B88" s="25"/>
      <c r="C88" s="47" t="s">
        <v>24</v>
      </c>
      <c r="D88" s="48"/>
      <c r="E88" s="49" t="s">
        <v>25</v>
      </c>
      <c r="F88" s="46">
        <f>MIN(F83:F87)</f>
        <v>141.72</v>
      </c>
      <c r="G88" s="25"/>
      <c r="H88" s="25"/>
      <c r="I88" s="25"/>
      <c r="J88" s="25"/>
      <c r="K88" s="25"/>
      <c r="L88" s="25"/>
      <c r="M88" s="25"/>
      <c r="N88" s="27"/>
    </row>
    <row r="89">
      <c r="A89" s="41"/>
      <c r="B89" s="17">
        <v>45859.0</v>
      </c>
      <c r="C89" s="34" t="s">
        <v>19</v>
      </c>
      <c r="D89" s="18">
        <v>144.25</v>
      </c>
      <c r="E89" s="18">
        <v>144.25</v>
      </c>
      <c r="F89" s="18">
        <v>143.85</v>
      </c>
      <c r="K89" s="20">
        <v>6.0</v>
      </c>
      <c r="L89" s="20">
        <v>800.24</v>
      </c>
      <c r="M89" s="15">
        <f t="shared" ref="M89:M93" si="18">K89*G89</f>
        <v>0</v>
      </c>
      <c r="N89" s="21">
        <f t="shared" ref="N89:N93" si="19">M89-L89</f>
        <v>-800.24</v>
      </c>
    </row>
    <row r="90">
      <c r="A90" s="41"/>
      <c r="B90" s="17">
        <v>45860.0</v>
      </c>
      <c r="C90" s="34" t="s">
        <v>20</v>
      </c>
      <c r="D90" s="18">
        <v>144.0</v>
      </c>
      <c r="E90" s="18">
        <v>144.2</v>
      </c>
      <c r="F90" s="18">
        <v>143.74</v>
      </c>
      <c r="K90" s="20">
        <v>6.0</v>
      </c>
      <c r="L90" s="20">
        <v>800.24</v>
      </c>
      <c r="M90" s="15">
        <f t="shared" si="18"/>
        <v>0</v>
      </c>
      <c r="N90" s="21">
        <f t="shared" si="19"/>
        <v>-800.24</v>
      </c>
    </row>
    <row r="91">
      <c r="A91" s="41"/>
      <c r="B91" s="17">
        <v>45861.0</v>
      </c>
      <c r="C91" s="34" t="s">
        <v>21</v>
      </c>
      <c r="D91" s="18">
        <v>143.95</v>
      </c>
      <c r="E91" s="18">
        <v>144.03</v>
      </c>
      <c r="F91" s="18">
        <v>143.65</v>
      </c>
      <c r="K91" s="20">
        <v>6.0</v>
      </c>
      <c r="L91" s="20">
        <v>800.24</v>
      </c>
      <c r="M91" s="15">
        <f t="shared" si="18"/>
        <v>0</v>
      </c>
      <c r="N91" s="21">
        <f t="shared" si="19"/>
        <v>-800.24</v>
      </c>
    </row>
    <row r="92">
      <c r="A92" s="41"/>
      <c r="B92" s="17">
        <v>45862.0</v>
      </c>
      <c r="C92" s="34" t="s">
        <v>22</v>
      </c>
      <c r="D92" s="18">
        <v>144.26</v>
      </c>
      <c r="E92" s="18">
        <v>144.39</v>
      </c>
      <c r="F92" s="18">
        <v>143.79</v>
      </c>
      <c r="K92" s="20">
        <v>6.0</v>
      </c>
      <c r="L92" s="20">
        <v>800.24</v>
      </c>
      <c r="M92" s="15">
        <f t="shared" si="18"/>
        <v>0</v>
      </c>
      <c r="N92" s="21">
        <f t="shared" si="19"/>
        <v>-800.24</v>
      </c>
    </row>
    <row r="93">
      <c r="A93" s="41"/>
      <c r="B93" s="17">
        <v>45863.0</v>
      </c>
      <c r="C93" s="34" t="s">
        <v>23</v>
      </c>
      <c r="D93" s="18">
        <v>144.43</v>
      </c>
      <c r="E93" s="18">
        <v>144.85</v>
      </c>
      <c r="F93" s="18">
        <v>144.17</v>
      </c>
      <c r="K93" s="20">
        <v>6.0</v>
      </c>
      <c r="L93" s="20">
        <v>800.24</v>
      </c>
      <c r="M93" s="15">
        <f t="shared" si="18"/>
        <v>0</v>
      </c>
      <c r="N93" s="21">
        <f t="shared" si="19"/>
        <v>-800.24</v>
      </c>
    </row>
    <row r="94">
      <c r="A94" s="42"/>
      <c r="B94" s="25"/>
      <c r="C94" s="25"/>
      <c r="D94" s="25"/>
      <c r="E94" s="25"/>
      <c r="F94" s="44">
        <f>MIN(F89:F93)</f>
        <v>143.65</v>
      </c>
      <c r="G94" s="25"/>
      <c r="H94" s="25"/>
      <c r="I94" s="25"/>
      <c r="J94" s="25"/>
      <c r="K94" s="25"/>
      <c r="L94" s="25"/>
      <c r="M94" s="25"/>
      <c r="N94" s="27"/>
    </row>
    <row r="95">
      <c r="A95" s="41"/>
      <c r="B95" s="36">
        <v>45873.66666666667</v>
      </c>
      <c r="C95" s="34" t="s">
        <v>19</v>
      </c>
      <c r="D95" s="19">
        <v>145.1</v>
      </c>
      <c r="E95" s="19">
        <v>145.1</v>
      </c>
      <c r="F95" s="19">
        <v>143.2</v>
      </c>
      <c r="G95" s="19">
        <v>143.53</v>
      </c>
      <c r="K95" s="20">
        <v>6.0</v>
      </c>
      <c r="L95" s="20">
        <v>800.24</v>
      </c>
      <c r="M95" s="15">
        <f t="shared" ref="M95:M99" si="20">K95*G95</f>
        <v>861.18</v>
      </c>
      <c r="N95" s="21">
        <f t="shared" ref="N95:N99" si="21">M95-L95</f>
        <v>60.94</v>
      </c>
    </row>
    <row r="96">
      <c r="A96" s="41"/>
      <c r="B96" s="36">
        <v>45874.66666666667</v>
      </c>
      <c r="C96" s="34" t="s">
        <v>20</v>
      </c>
      <c r="D96" s="19">
        <v>145.3</v>
      </c>
      <c r="E96" s="19">
        <v>145.82</v>
      </c>
      <c r="F96" s="19">
        <v>145.23</v>
      </c>
      <c r="G96" s="19">
        <v>145.69</v>
      </c>
      <c r="K96" s="20">
        <v>6.0</v>
      </c>
      <c r="L96" s="20">
        <v>800.24</v>
      </c>
      <c r="M96" s="15">
        <f t="shared" si="20"/>
        <v>874.14</v>
      </c>
      <c r="N96" s="21">
        <f t="shared" si="21"/>
        <v>73.9</v>
      </c>
    </row>
    <row r="97">
      <c r="A97" s="41"/>
      <c r="B97" s="36">
        <v>45875.66666666667</v>
      </c>
      <c r="C97" s="34" t="s">
        <v>21</v>
      </c>
      <c r="D97" s="19">
        <v>144.61</v>
      </c>
      <c r="E97" s="19">
        <v>145.1</v>
      </c>
      <c r="F97" s="19">
        <v>144.5</v>
      </c>
      <c r="G97" s="19">
        <v>145.0</v>
      </c>
      <c r="K97" s="20">
        <v>6.0</v>
      </c>
      <c r="L97" s="20">
        <v>800.24</v>
      </c>
      <c r="M97" s="15">
        <f t="shared" si="20"/>
        <v>870</v>
      </c>
      <c r="N97" s="21">
        <f t="shared" si="21"/>
        <v>69.76</v>
      </c>
    </row>
    <row r="98">
      <c r="A98" s="41"/>
      <c r="B98" s="36">
        <v>45876.66666666667</v>
      </c>
      <c r="C98" s="34" t="s">
        <v>22</v>
      </c>
      <c r="D98" s="19">
        <v>145.34</v>
      </c>
      <c r="E98" s="19">
        <v>145.62</v>
      </c>
      <c r="F98" s="19">
        <v>145.16</v>
      </c>
      <c r="G98" s="19">
        <v>145.25</v>
      </c>
      <c r="K98" s="20">
        <v>6.0</v>
      </c>
      <c r="L98" s="20">
        <v>800.24</v>
      </c>
      <c r="M98" s="15">
        <f t="shared" si="20"/>
        <v>871.5</v>
      </c>
      <c r="N98" s="21">
        <f t="shared" si="21"/>
        <v>71.26</v>
      </c>
    </row>
    <row r="99">
      <c r="A99" s="41"/>
      <c r="B99" s="36">
        <v>45877.66666666667</v>
      </c>
      <c r="C99" s="34" t="s">
        <v>23</v>
      </c>
      <c r="D99" s="19">
        <v>145.4</v>
      </c>
      <c r="E99" s="19">
        <v>145.73</v>
      </c>
      <c r="F99" s="19">
        <v>145.21</v>
      </c>
      <c r="G99" s="19">
        <v>145.23</v>
      </c>
      <c r="K99" s="20">
        <v>6.0</v>
      </c>
      <c r="L99" s="20">
        <v>800.24</v>
      </c>
      <c r="M99" s="15">
        <f t="shared" si="20"/>
        <v>871.38</v>
      </c>
      <c r="N99" s="21">
        <f t="shared" si="21"/>
        <v>71.14</v>
      </c>
    </row>
    <row r="100">
      <c r="A100" s="42"/>
      <c r="B100" s="25"/>
      <c r="C100" s="25"/>
      <c r="D100" s="25"/>
      <c r="E100" s="25"/>
      <c r="F100" s="46">
        <f>MIN(F95:F99)</f>
        <v>143.2</v>
      </c>
      <c r="G100" s="25"/>
      <c r="H100" s="25"/>
      <c r="I100" s="25"/>
      <c r="J100" s="25"/>
      <c r="K100" s="26"/>
      <c r="L100" s="26"/>
      <c r="M100" s="25"/>
      <c r="N100" s="27"/>
    </row>
    <row r="101">
      <c r="A101" s="41"/>
      <c r="B101" s="36">
        <v>45880.66666666667</v>
      </c>
      <c r="C101" s="34" t="s">
        <v>19</v>
      </c>
      <c r="D101" s="19">
        <v>145.97</v>
      </c>
      <c r="E101" s="19">
        <v>146.49</v>
      </c>
      <c r="F101" s="19">
        <v>145.96</v>
      </c>
      <c r="G101" s="19">
        <v>146.17</v>
      </c>
      <c r="K101" s="20">
        <v>6.0</v>
      </c>
      <c r="L101" s="20">
        <v>800.24</v>
      </c>
      <c r="M101" s="15">
        <f t="shared" ref="M101:M105" si="22">K101*G101</f>
        <v>877.02</v>
      </c>
      <c r="N101" s="21">
        <f t="shared" ref="N101:N105" si="23">M101-L101</f>
        <v>76.78</v>
      </c>
    </row>
    <row r="102">
      <c r="A102" s="41"/>
      <c r="B102" s="36">
        <v>45881.66666666667</v>
      </c>
      <c r="C102" s="34" t="s">
        <v>20</v>
      </c>
      <c r="D102" s="19">
        <v>145.94</v>
      </c>
      <c r="E102" s="19">
        <v>146.39</v>
      </c>
      <c r="F102" s="19">
        <v>145.72</v>
      </c>
      <c r="G102" s="19">
        <v>146.31</v>
      </c>
      <c r="K102" s="20">
        <v>6.0</v>
      </c>
      <c r="L102" s="20">
        <v>800.24</v>
      </c>
      <c r="M102" s="15">
        <f t="shared" si="22"/>
        <v>877.86</v>
      </c>
      <c r="N102" s="21">
        <f t="shared" si="23"/>
        <v>77.62</v>
      </c>
    </row>
    <row r="103">
      <c r="A103" s="41"/>
      <c r="B103" s="36">
        <v>45882.66666666667</v>
      </c>
      <c r="C103" s="34" t="s">
        <v>21</v>
      </c>
      <c r="D103" s="19">
        <v>146.98</v>
      </c>
      <c r="E103" s="19">
        <v>147.25</v>
      </c>
      <c r="F103" s="19">
        <v>146.96</v>
      </c>
      <c r="G103" s="19">
        <v>146.98</v>
      </c>
      <c r="K103" s="20">
        <v>6.0</v>
      </c>
      <c r="L103" s="20">
        <v>800.24</v>
      </c>
      <c r="M103" s="15">
        <f t="shared" si="22"/>
        <v>881.88</v>
      </c>
      <c r="N103" s="21">
        <f t="shared" si="23"/>
        <v>81.64</v>
      </c>
    </row>
    <row r="104">
      <c r="A104" s="41"/>
      <c r="B104" s="36">
        <v>45883.66666666667</v>
      </c>
      <c r="C104" s="34" t="s">
        <v>22</v>
      </c>
      <c r="D104" s="19">
        <v>147.19</v>
      </c>
      <c r="E104" s="19">
        <v>147.21</v>
      </c>
      <c r="F104" s="19">
        <v>146.66</v>
      </c>
      <c r="G104" s="19">
        <v>146.94</v>
      </c>
      <c r="K104" s="20">
        <v>6.0</v>
      </c>
      <c r="L104" s="20">
        <v>800.24</v>
      </c>
      <c r="M104" s="15">
        <f t="shared" si="22"/>
        <v>881.64</v>
      </c>
      <c r="N104" s="21">
        <f t="shared" si="23"/>
        <v>81.4</v>
      </c>
    </row>
    <row r="105">
      <c r="A105" s="41"/>
      <c r="B105" s="36">
        <v>45884.66666666667</v>
      </c>
      <c r="C105" s="34" t="s">
        <v>23</v>
      </c>
      <c r="D105" s="19">
        <v>148.16</v>
      </c>
      <c r="E105" s="19">
        <v>148.8</v>
      </c>
      <c r="F105" s="19">
        <v>148.16</v>
      </c>
      <c r="G105" s="19">
        <v>148.59</v>
      </c>
      <c r="K105" s="20">
        <v>6.0</v>
      </c>
      <c r="L105" s="20">
        <v>800.24</v>
      </c>
      <c r="M105" s="15">
        <f t="shared" si="22"/>
        <v>891.54</v>
      </c>
      <c r="N105" s="21">
        <f t="shared" si="23"/>
        <v>91.3</v>
      </c>
    </row>
    <row r="106">
      <c r="A106" s="42"/>
      <c r="B106" s="25"/>
      <c r="C106" s="25"/>
      <c r="D106" s="25"/>
      <c r="E106" s="25"/>
      <c r="F106" s="46">
        <f>MIN(F101:F105)</f>
        <v>145.72</v>
      </c>
      <c r="G106" s="25"/>
      <c r="H106" s="25"/>
      <c r="I106" s="25"/>
      <c r="J106" s="25"/>
      <c r="K106" s="25"/>
      <c r="L106" s="25"/>
      <c r="M106" s="25"/>
      <c r="N106" s="27"/>
    </row>
    <row r="107">
      <c r="A107" s="41"/>
      <c r="B107" s="36">
        <v>45887.66666666667</v>
      </c>
      <c r="C107" s="34" t="s">
        <v>19</v>
      </c>
      <c r="D107" s="19">
        <v>148.15</v>
      </c>
      <c r="E107" s="19">
        <v>148.36</v>
      </c>
      <c r="F107" s="19">
        <v>147.88</v>
      </c>
      <c r="G107" s="19">
        <v>147.99</v>
      </c>
      <c r="K107" s="34">
        <v>6.0</v>
      </c>
      <c r="L107" s="20">
        <v>800.24</v>
      </c>
      <c r="M107" s="15">
        <f t="shared" ref="M107:M111" si="24">K107*G107</f>
        <v>887.94</v>
      </c>
      <c r="N107" s="21">
        <f t="shared" ref="N107:N111" si="25">M107-L107</f>
        <v>87.7</v>
      </c>
    </row>
    <row r="108">
      <c r="A108" s="41"/>
      <c r="B108" s="36">
        <v>45888.66666666667</v>
      </c>
      <c r="C108" s="34" t="s">
        <v>20</v>
      </c>
      <c r="D108" s="19">
        <v>148.36</v>
      </c>
      <c r="E108" s="19">
        <v>148.4</v>
      </c>
      <c r="F108" s="19">
        <v>148.06</v>
      </c>
      <c r="G108" s="19">
        <v>148.29</v>
      </c>
      <c r="K108" s="34">
        <v>6.0</v>
      </c>
      <c r="L108" s="20">
        <v>800.24</v>
      </c>
      <c r="M108" s="15">
        <f t="shared" si="24"/>
        <v>889.74</v>
      </c>
      <c r="N108" s="21">
        <f t="shared" si="25"/>
        <v>89.5</v>
      </c>
    </row>
    <row r="109">
      <c r="A109" s="41"/>
      <c r="B109" s="36">
        <v>45889.66666666667</v>
      </c>
      <c r="C109" s="34" t="s">
        <v>21</v>
      </c>
      <c r="D109" s="19">
        <v>148.42</v>
      </c>
      <c r="E109" s="19">
        <v>148.73</v>
      </c>
      <c r="F109" s="19">
        <v>148.21</v>
      </c>
      <c r="G109" s="19">
        <v>148.44</v>
      </c>
      <c r="K109" s="34">
        <v>6.0</v>
      </c>
      <c r="L109" s="20">
        <v>800.24</v>
      </c>
      <c r="M109" s="15">
        <f t="shared" si="24"/>
        <v>890.64</v>
      </c>
      <c r="N109" s="21">
        <f t="shared" si="25"/>
        <v>90.4</v>
      </c>
    </row>
    <row r="110">
      <c r="A110" s="41"/>
      <c r="B110" s="36">
        <v>45890.66666666667</v>
      </c>
      <c r="C110" s="34" t="s">
        <v>22</v>
      </c>
      <c r="D110" s="19">
        <v>148.8</v>
      </c>
      <c r="E110" s="19">
        <v>149.2</v>
      </c>
      <c r="F110" s="19">
        <v>148.61</v>
      </c>
      <c r="G110" s="19">
        <v>148.98</v>
      </c>
      <c r="K110" s="34">
        <v>6.0</v>
      </c>
      <c r="L110" s="20">
        <v>800.24</v>
      </c>
      <c r="M110" s="15">
        <f t="shared" si="24"/>
        <v>893.88</v>
      </c>
      <c r="N110" s="21">
        <f t="shared" si="25"/>
        <v>93.64</v>
      </c>
    </row>
    <row r="111">
      <c r="A111" s="50" t="s">
        <v>18</v>
      </c>
      <c r="B111" s="39">
        <v>45891.66666666667</v>
      </c>
      <c r="C111" s="13" t="s">
        <v>23</v>
      </c>
      <c r="D111" s="11">
        <v>148.71</v>
      </c>
      <c r="E111" s="11">
        <v>148.93</v>
      </c>
      <c r="F111" s="11">
        <v>148.31</v>
      </c>
      <c r="G111" s="11">
        <v>148.43</v>
      </c>
      <c r="H111" s="12"/>
      <c r="I111" s="13">
        <v>1.0</v>
      </c>
      <c r="J111" s="13">
        <v>148.48</v>
      </c>
      <c r="K111" s="13">
        <v>7.0</v>
      </c>
      <c r="L111" s="12">
        <f>L110+J111</f>
        <v>948.72</v>
      </c>
      <c r="M111" s="12">
        <f t="shared" si="24"/>
        <v>1039.01</v>
      </c>
      <c r="N111" s="14">
        <f t="shared" si="25"/>
        <v>90.29</v>
      </c>
    </row>
    <row r="112">
      <c r="A112" s="42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7"/>
    </row>
    <row r="113">
      <c r="A113" s="50" t="s">
        <v>18</v>
      </c>
      <c r="B113" s="9">
        <v>45919.0</v>
      </c>
      <c r="C113" s="12"/>
      <c r="D113" s="12"/>
      <c r="E113" s="12"/>
      <c r="F113" s="12"/>
      <c r="G113" s="12"/>
      <c r="H113" s="12"/>
      <c r="I113" s="13">
        <v>1.0</v>
      </c>
      <c r="J113" s="13">
        <v>149.76</v>
      </c>
      <c r="K113" s="13">
        <v>8.0</v>
      </c>
      <c r="L113" s="12">
        <f>L111+J113</f>
        <v>1098.48</v>
      </c>
      <c r="M113" s="12"/>
      <c r="N113" s="14"/>
    </row>
    <row r="114">
      <c r="A114" s="42"/>
      <c r="B114" s="38"/>
      <c r="C114" s="26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51"/>
    </row>
    <row r="115">
      <c r="A115" s="50" t="s">
        <v>18</v>
      </c>
      <c r="B115" s="39">
        <v>45950.66666666667</v>
      </c>
      <c r="C115" s="13" t="s">
        <v>19</v>
      </c>
      <c r="D115" s="11">
        <v>152.94</v>
      </c>
      <c r="E115" s="11">
        <v>153.3</v>
      </c>
      <c r="F115" s="11">
        <v>152.6</v>
      </c>
      <c r="G115" s="11">
        <v>153.3</v>
      </c>
      <c r="H115" s="12"/>
      <c r="I115" s="13">
        <v>1.0</v>
      </c>
      <c r="J115" s="13">
        <v>153.22</v>
      </c>
      <c r="K115" s="13">
        <v>9.0</v>
      </c>
      <c r="L115" s="12">
        <f>L113+J115</f>
        <v>1251.7</v>
      </c>
      <c r="M115" s="12">
        <f t="shared" ref="M115:M119" si="26">K115*G115</f>
        <v>1379.7</v>
      </c>
      <c r="N115" s="14">
        <f t="shared" ref="N115:N119" si="27">M115-L115</f>
        <v>128</v>
      </c>
    </row>
    <row r="116">
      <c r="A116" s="41"/>
      <c r="B116" s="36">
        <v>45951.66666666667</v>
      </c>
      <c r="C116" s="34" t="s">
        <v>20</v>
      </c>
      <c r="D116" s="19">
        <v>153.99</v>
      </c>
      <c r="E116" s="19">
        <v>154.39</v>
      </c>
      <c r="F116" s="19">
        <v>153.97</v>
      </c>
      <c r="G116" s="19">
        <v>154.31</v>
      </c>
      <c r="K116" s="34">
        <v>9.0</v>
      </c>
      <c r="L116" s="34">
        <v>1251.7</v>
      </c>
      <c r="M116" s="15">
        <f t="shared" si="26"/>
        <v>1388.79</v>
      </c>
      <c r="N116" s="21">
        <f t="shared" si="27"/>
        <v>137.09</v>
      </c>
    </row>
    <row r="117">
      <c r="A117" s="41"/>
      <c r="B117" s="36">
        <v>45952.66666666667</v>
      </c>
      <c r="C117" s="34" t="s">
        <v>21</v>
      </c>
      <c r="D117" s="19">
        <v>154.62</v>
      </c>
      <c r="E117" s="19">
        <v>154.62</v>
      </c>
      <c r="F117" s="19">
        <v>154.12</v>
      </c>
      <c r="G117" s="19">
        <v>154.35</v>
      </c>
      <c r="K117" s="34">
        <v>9.0</v>
      </c>
      <c r="L117" s="34">
        <v>1251.7</v>
      </c>
      <c r="M117" s="15">
        <f t="shared" si="26"/>
        <v>1389.15</v>
      </c>
      <c r="N117" s="21">
        <f t="shared" si="27"/>
        <v>137.45</v>
      </c>
    </row>
    <row r="118">
      <c r="A118" s="41"/>
      <c r="B118" s="36">
        <v>45953.66666666667</v>
      </c>
      <c r="C118" s="34" t="s">
        <v>22</v>
      </c>
      <c r="D118" s="19">
        <v>153.94</v>
      </c>
      <c r="E118" s="19">
        <v>154.03</v>
      </c>
      <c r="F118" s="19">
        <v>153.4</v>
      </c>
      <c r="G118" s="19">
        <v>153.8</v>
      </c>
      <c r="K118" s="34">
        <v>9.0</v>
      </c>
      <c r="L118" s="34">
        <v>1251.7</v>
      </c>
      <c r="M118" s="15">
        <f t="shared" si="26"/>
        <v>1384.2</v>
      </c>
      <c r="N118" s="21">
        <f t="shared" si="27"/>
        <v>132.5</v>
      </c>
    </row>
    <row r="119">
      <c r="A119" s="41"/>
      <c r="B119" s="36">
        <v>45954.66666666667</v>
      </c>
      <c r="C119" s="34" t="s">
        <v>23</v>
      </c>
      <c r="D119" s="19">
        <v>154.1</v>
      </c>
      <c r="E119" s="19">
        <v>154.57</v>
      </c>
      <c r="F119" s="19">
        <v>154.0</v>
      </c>
      <c r="G119" s="19">
        <v>154.45</v>
      </c>
      <c r="K119" s="34">
        <v>9.0</v>
      </c>
      <c r="L119" s="34">
        <v>1251.7</v>
      </c>
      <c r="M119" s="15">
        <f t="shared" si="26"/>
        <v>1390.05</v>
      </c>
      <c r="N119" s="21">
        <f t="shared" si="27"/>
        <v>138.35</v>
      </c>
    </row>
    <row r="120">
      <c r="A120" s="42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7"/>
    </row>
    <row r="121">
      <c r="A121" s="41"/>
      <c r="B121" s="36">
        <v>45971.66666666667</v>
      </c>
      <c r="C121" s="52" t="s">
        <v>19</v>
      </c>
      <c r="D121" s="19">
        <v>154.57</v>
      </c>
      <c r="E121" s="19">
        <v>154.8</v>
      </c>
      <c r="F121" s="19">
        <v>154.01</v>
      </c>
      <c r="G121" s="19">
        <v>154.16</v>
      </c>
      <c r="K121" s="34">
        <v>9.0</v>
      </c>
      <c r="L121" s="34">
        <v>1251.7</v>
      </c>
      <c r="M121" s="15">
        <f t="shared" ref="M121:M125" si="28">K121*G121</f>
        <v>1387.44</v>
      </c>
      <c r="N121" s="21">
        <f t="shared" ref="N121:N125" si="29">M121-L121</f>
        <v>135.74</v>
      </c>
    </row>
    <row r="122">
      <c r="A122" s="41"/>
      <c r="B122" s="36">
        <v>45972.66666666667</v>
      </c>
      <c r="C122" s="34" t="s">
        <v>20</v>
      </c>
      <c r="D122" s="19">
        <v>155.0</v>
      </c>
      <c r="E122" s="19">
        <v>155.45</v>
      </c>
      <c r="F122" s="19">
        <v>155.0</v>
      </c>
      <c r="G122" s="19">
        <v>155.31</v>
      </c>
      <c r="K122" s="34">
        <v>9.0</v>
      </c>
      <c r="L122" s="34">
        <v>1251.7</v>
      </c>
      <c r="M122" s="15">
        <f t="shared" si="28"/>
        <v>1397.79</v>
      </c>
      <c r="N122" s="21">
        <f t="shared" si="29"/>
        <v>146.09</v>
      </c>
    </row>
    <row r="123">
      <c r="A123" s="41"/>
      <c r="B123" s="36">
        <v>45973.66666666667</v>
      </c>
      <c r="C123" s="34" t="s">
        <v>21</v>
      </c>
      <c r="D123" s="19">
        <v>155.5</v>
      </c>
      <c r="E123" s="19">
        <v>156.35</v>
      </c>
      <c r="F123" s="19">
        <v>155.5</v>
      </c>
      <c r="G123" s="19">
        <v>156.2</v>
      </c>
      <c r="K123" s="34">
        <v>9.0</v>
      </c>
      <c r="L123" s="34">
        <v>1251.7</v>
      </c>
      <c r="M123" s="15">
        <f t="shared" si="28"/>
        <v>1405.8</v>
      </c>
      <c r="N123" s="21">
        <f t="shared" si="29"/>
        <v>154.1</v>
      </c>
    </row>
    <row r="124">
      <c r="A124" s="41"/>
      <c r="B124" s="36">
        <v>45974.66666666667</v>
      </c>
      <c r="C124" s="34" t="s">
        <v>22</v>
      </c>
      <c r="D124" s="19">
        <v>156.2</v>
      </c>
      <c r="E124" s="19">
        <v>156.2</v>
      </c>
      <c r="F124" s="19">
        <v>155.21</v>
      </c>
      <c r="G124" s="19">
        <v>155.88</v>
      </c>
      <c r="K124" s="34">
        <v>9.0</v>
      </c>
      <c r="L124" s="34">
        <v>1251.7</v>
      </c>
      <c r="M124" s="15">
        <f t="shared" si="28"/>
        <v>1402.92</v>
      </c>
      <c r="N124" s="21">
        <f t="shared" si="29"/>
        <v>151.22</v>
      </c>
    </row>
    <row r="125">
      <c r="A125" s="50" t="s">
        <v>18</v>
      </c>
      <c r="B125" s="39">
        <v>45975.66666666667</v>
      </c>
      <c r="C125" s="13" t="s">
        <v>23</v>
      </c>
      <c r="D125" s="11">
        <v>155.0</v>
      </c>
      <c r="E125" s="11">
        <v>155.0</v>
      </c>
      <c r="F125" s="11">
        <v>153.68</v>
      </c>
      <c r="G125" s="11">
        <v>153.8</v>
      </c>
      <c r="H125" s="12"/>
      <c r="I125" s="13">
        <v>1.0</v>
      </c>
      <c r="J125" s="13">
        <v>153.8</v>
      </c>
      <c r="K125" s="13">
        <v>10.0</v>
      </c>
      <c r="L125" s="12">
        <f>L124+J125</f>
        <v>1405.5</v>
      </c>
      <c r="M125" s="12">
        <f t="shared" si="28"/>
        <v>1538</v>
      </c>
      <c r="N125" s="14">
        <f t="shared" si="29"/>
        <v>132.5</v>
      </c>
    </row>
    <row r="126">
      <c r="A126" s="42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7"/>
    </row>
    <row r="127">
      <c r="A127" s="50" t="s">
        <v>18</v>
      </c>
      <c r="B127" s="53">
        <v>46020.0</v>
      </c>
      <c r="C127" s="13" t="s">
        <v>19</v>
      </c>
      <c r="D127" s="11">
        <v>154.31</v>
      </c>
      <c r="E127" s="11">
        <v>154.44</v>
      </c>
      <c r="F127" s="11">
        <v>153.86</v>
      </c>
      <c r="G127" s="11">
        <v>153.96</v>
      </c>
      <c r="H127" s="12"/>
      <c r="I127" s="13">
        <v>1.0</v>
      </c>
      <c r="J127" s="13">
        <v>153.92</v>
      </c>
      <c r="K127" s="13">
        <v>11.0</v>
      </c>
      <c r="L127" s="12">
        <f>L125+J127</f>
        <v>1559.42</v>
      </c>
      <c r="M127" s="15">
        <f t="shared" ref="M127:M129" si="30">K127*G127</f>
        <v>1693.56</v>
      </c>
      <c r="N127" s="21">
        <f t="shared" ref="N127:N129" si="31">M127-L127</f>
        <v>134.14</v>
      </c>
    </row>
    <row r="128">
      <c r="A128" s="41"/>
      <c r="B128" s="54">
        <v>46021.0</v>
      </c>
      <c r="C128" s="52" t="s">
        <v>20</v>
      </c>
      <c r="D128" s="19">
        <v>154.4</v>
      </c>
      <c r="E128" s="19">
        <v>154.45</v>
      </c>
      <c r="F128" s="19">
        <v>153.82</v>
      </c>
      <c r="G128" s="19">
        <v>153.87</v>
      </c>
      <c r="K128" s="34">
        <v>11.0</v>
      </c>
      <c r="L128" s="52">
        <v>1559.42</v>
      </c>
      <c r="M128" s="15">
        <f t="shared" si="30"/>
        <v>1692.57</v>
      </c>
      <c r="N128" s="21">
        <f t="shared" si="31"/>
        <v>133.15</v>
      </c>
    </row>
    <row r="129">
      <c r="A129" s="41"/>
      <c r="B129" s="54">
        <v>46022.0</v>
      </c>
      <c r="C129" s="52" t="s">
        <v>21</v>
      </c>
      <c r="D129" s="19">
        <v>154.01</v>
      </c>
      <c r="E129" s="19">
        <v>154.39</v>
      </c>
      <c r="F129" s="19">
        <v>153.68</v>
      </c>
      <c r="G129" s="19">
        <v>153.85</v>
      </c>
      <c r="K129" s="34">
        <v>11.0</v>
      </c>
      <c r="L129" s="52">
        <v>1559.42</v>
      </c>
      <c r="M129" s="15">
        <f t="shared" si="30"/>
        <v>1692.35</v>
      </c>
      <c r="N129" s="21">
        <f t="shared" si="31"/>
        <v>132.93</v>
      </c>
    </row>
    <row r="130">
      <c r="A130" s="41"/>
      <c r="B130" s="54">
        <v>46023.0</v>
      </c>
      <c r="C130" s="52" t="s">
        <v>22</v>
      </c>
      <c r="D130" s="55" t="s">
        <v>26</v>
      </c>
      <c r="E130" s="55" t="s">
        <v>26</v>
      </c>
      <c r="F130" s="55" t="s">
        <v>26</v>
      </c>
      <c r="G130" s="55" t="s">
        <v>26</v>
      </c>
      <c r="H130" s="55" t="s">
        <v>26</v>
      </c>
      <c r="I130" s="55" t="s">
        <v>26</v>
      </c>
      <c r="J130" s="55" t="s">
        <v>26</v>
      </c>
      <c r="K130" s="55" t="s">
        <v>26</v>
      </c>
      <c r="L130" s="55" t="s">
        <v>26</v>
      </c>
      <c r="M130" s="55" t="s">
        <v>26</v>
      </c>
      <c r="N130" s="56" t="s">
        <v>26</v>
      </c>
    </row>
    <row r="131">
      <c r="A131" s="57"/>
      <c r="B131" s="54">
        <v>46024.0</v>
      </c>
      <c r="C131" s="20" t="s">
        <v>23</v>
      </c>
      <c r="D131" s="19">
        <v>153.3</v>
      </c>
      <c r="E131" s="19">
        <v>153.69</v>
      </c>
      <c r="F131" s="19">
        <v>153.04</v>
      </c>
      <c r="G131" s="19">
        <v>153.21</v>
      </c>
      <c r="H131" s="15"/>
      <c r="I131" s="20"/>
      <c r="J131" s="15"/>
      <c r="K131" s="34">
        <v>11.0</v>
      </c>
      <c r="L131" s="52">
        <v>1559.42</v>
      </c>
      <c r="M131" s="15">
        <f>K131*G131</f>
        <v>1685.31</v>
      </c>
      <c r="N131" s="21">
        <f>M131-L131</f>
        <v>125.89</v>
      </c>
    </row>
    <row r="132">
      <c r="A132" s="42"/>
      <c r="B132" s="25"/>
      <c r="C132" s="26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7"/>
    </row>
    <row r="133">
      <c r="A133" s="41"/>
      <c r="B133" s="34" t="s">
        <v>19</v>
      </c>
      <c r="C133" s="36">
        <v>46027.66666666667</v>
      </c>
      <c r="D133" s="19">
        <v>153.3</v>
      </c>
      <c r="E133" s="19">
        <v>154.04</v>
      </c>
      <c r="F133" s="19">
        <v>153.24</v>
      </c>
      <c r="G133" s="19">
        <v>154.0</v>
      </c>
      <c r="K133" s="34">
        <v>11.0</v>
      </c>
      <c r="L133" s="52">
        <v>1559.42</v>
      </c>
      <c r="M133" s="15">
        <f t="shared" ref="M133:M137" si="32">K133*G133</f>
        <v>1694</v>
      </c>
      <c r="N133" s="21">
        <f t="shared" ref="N133:N137" si="33">M133-L133</f>
        <v>134.58</v>
      </c>
    </row>
    <row r="134">
      <c r="A134" s="41"/>
      <c r="B134" s="34" t="s">
        <v>20</v>
      </c>
      <c r="C134" s="36">
        <v>46028.66666666667</v>
      </c>
      <c r="D134" s="19">
        <v>154.07</v>
      </c>
      <c r="E134" s="19">
        <v>154.25</v>
      </c>
      <c r="F134" s="19">
        <v>153.89</v>
      </c>
      <c r="G134" s="19">
        <v>154.0</v>
      </c>
      <c r="K134" s="34">
        <v>11.0</v>
      </c>
      <c r="L134" s="52">
        <v>1559.42</v>
      </c>
      <c r="M134" s="15">
        <f t="shared" si="32"/>
        <v>1694</v>
      </c>
      <c r="N134" s="21">
        <f t="shared" si="33"/>
        <v>134.58</v>
      </c>
    </row>
    <row r="135">
      <c r="A135" s="41"/>
      <c r="B135" s="34" t="s">
        <v>21</v>
      </c>
      <c r="C135" s="36">
        <v>46029.66666666667</v>
      </c>
      <c r="D135" s="19">
        <v>154.34</v>
      </c>
      <c r="E135" s="19">
        <v>154.79</v>
      </c>
      <c r="F135" s="19">
        <v>153.6</v>
      </c>
      <c r="G135" s="19">
        <v>153.74</v>
      </c>
      <c r="K135" s="34">
        <v>11.0</v>
      </c>
      <c r="L135" s="52">
        <v>1559.42</v>
      </c>
      <c r="M135" s="15">
        <f t="shared" si="32"/>
        <v>1691.14</v>
      </c>
      <c r="N135" s="21">
        <f t="shared" si="33"/>
        <v>131.72</v>
      </c>
    </row>
    <row r="136">
      <c r="A136" s="41"/>
      <c r="B136" s="34" t="s">
        <v>22</v>
      </c>
      <c r="C136" s="36">
        <v>46030.66666666667</v>
      </c>
      <c r="D136" s="19">
        <v>154.12</v>
      </c>
      <c r="E136" s="19">
        <v>154.32</v>
      </c>
      <c r="F136" s="19">
        <v>153.97</v>
      </c>
      <c r="G136" s="19">
        <v>154.26</v>
      </c>
      <c r="K136" s="34">
        <v>11.0</v>
      </c>
      <c r="L136" s="52">
        <v>1559.42</v>
      </c>
      <c r="M136" s="15">
        <f t="shared" si="32"/>
        <v>1696.86</v>
      </c>
      <c r="N136" s="21">
        <f t="shared" si="33"/>
        <v>137.44</v>
      </c>
    </row>
    <row r="137">
      <c r="A137" s="41"/>
      <c r="B137" s="34" t="s">
        <v>23</v>
      </c>
      <c r="C137" s="36">
        <v>46031.66666666667</v>
      </c>
      <c r="D137" s="19">
        <v>154.69</v>
      </c>
      <c r="E137" s="19">
        <v>154.8</v>
      </c>
      <c r="F137" s="19">
        <v>154.48</v>
      </c>
      <c r="G137" s="19">
        <v>154.59</v>
      </c>
      <c r="K137" s="34">
        <v>11.0</v>
      </c>
      <c r="L137" s="52">
        <v>1559.42</v>
      </c>
      <c r="M137" s="15">
        <f t="shared" si="32"/>
        <v>1700.49</v>
      </c>
      <c r="N137" s="21">
        <f t="shared" si="33"/>
        <v>141.07</v>
      </c>
    </row>
    <row r="138">
      <c r="A138" s="42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7"/>
    </row>
    <row r="139">
      <c r="A139" s="41"/>
      <c r="B139" s="34" t="s">
        <v>19</v>
      </c>
      <c r="C139" s="36">
        <v>46041.66666666667</v>
      </c>
      <c r="D139" s="19">
        <v>155.86</v>
      </c>
      <c r="E139" s="19">
        <v>155.86</v>
      </c>
      <c r="F139" s="19">
        <v>154.39</v>
      </c>
      <c r="G139" s="19">
        <v>154.43</v>
      </c>
      <c r="K139" s="34">
        <v>11.0</v>
      </c>
      <c r="L139" s="52">
        <v>1559.42</v>
      </c>
      <c r="M139" s="15">
        <f t="shared" ref="M139:M143" si="34">K139*G139</f>
        <v>1698.73</v>
      </c>
      <c r="N139" s="21">
        <f t="shared" ref="N139:N143" si="35">M139-L139</f>
        <v>139.31</v>
      </c>
    </row>
    <row r="140">
      <c r="A140" s="41"/>
      <c r="B140" s="34" t="s">
        <v>20</v>
      </c>
      <c r="C140" s="36">
        <v>46042.66666666667</v>
      </c>
      <c r="D140" s="19">
        <v>154.28</v>
      </c>
      <c r="E140" s="19">
        <v>154.34</v>
      </c>
      <c r="F140" s="19">
        <v>153.07</v>
      </c>
      <c r="G140" s="19">
        <v>153.1</v>
      </c>
      <c r="K140" s="34">
        <v>11.0</v>
      </c>
      <c r="L140" s="52">
        <v>1559.42</v>
      </c>
      <c r="M140" s="15">
        <f t="shared" si="34"/>
        <v>1684.1</v>
      </c>
      <c r="N140" s="21">
        <f t="shared" si="35"/>
        <v>124.68</v>
      </c>
    </row>
    <row r="141">
      <c r="A141" s="41"/>
      <c r="B141" s="34" t="s">
        <v>21</v>
      </c>
      <c r="C141" s="36">
        <v>46043.66666666667</v>
      </c>
      <c r="D141" s="19">
        <v>152.6</v>
      </c>
      <c r="E141" s="19">
        <v>152.8</v>
      </c>
      <c r="F141" s="19">
        <v>151.8</v>
      </c>
      <c r="G141" s="19">
        <v>152.19</v>
      </c>
      <c r="K141" s="34">
        <v>11.0</v>
      </c>
      <c r="L141" s="52">
        <v>1559.42</v>
      </c>
      <c r="M141" s="15">
        <f t="shared" si="34"/>
        <v>1674.09</v>
      </c>
      <c r="N141" s="21">
        <f t="shared" si="35"/>
        <v>114.67</v>
      </c>
    </row>
    <row r="142">
      <c r="A142" s="41"/>
      <c r="B142" s="34" t="s">
        <v>22</v>
      </c>
      <c r="C142" s="36">
        <v>46044.66666666667</v>
      </c>
      <c r="D142" s="19">
        <v>153.0</v>
      </c>
      <c r="E142" s="19">
        <v>153.3</v>
      </c>
      <c r="F142" s="19">
        <v>152.11</v>
      </c>
      <c r="G142" s="19">
        <v>152.19</v>
      </c>
      <c r="K142" s="34">
        <v>11.0</v>
      </c>
      <c r="L142" s="52">
        <v>1559.42</v>
      </c>
      <c r="M142" s="15">
        <f t="shared" si="34"/>
        <v>1674.09</v>
      </c>
      <c r="N142" s="21">
        <f t="shared" si="35"/>
        <v>114.67</v>
      </c>
    </row>
    <row r="143">
      <c r="A143" s="58"/>
      <c r="B143" s="13" t="s">
        <v>23</v>
      </c>
      <c r="C143" s="39">
        <v>46045.66666666667</v>
      </c>
      <c r="D143" s="11">
        <v>152.01</v>
      </c>
      <c r="E143" s="11">
        <v>152.14</v>
      </c>
      <c r="F143" s="11">
        <v>151.57</v>
      </c>
      <c r="G143" s="11">
        <v>151.74</v>
      </c>
      <c r="H143" s="12"/>
      <c r="I143" s="13">
        <v>1.0</v>
      </c>
      <c r="J143" s="13">
        <v>151.97</v>
      </c>
      <c r="K143" s="12">
        <f t="shared" ref="K143:L143" si="36">K137+I143</f>
        <v>12</v>
      </c>
      <c r="L143" s="12">
        <f t="shared" si="36"/>
        <v>1711.39</v>
      </c>
      <c r="M143" s="12">
        <f t="shared" si="34"/>
        <v>1820.88</v>
      </c>
      <c r="N143" s="14">
        <f t="shared" si="35"/>
        <v>109.49</v>
      </c>
    </row>
    <row r="144">
      <c r="A144" s="42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7"/>
    </row>
    <row r="145">
      <c r="A145" s="41"/>
      <c r="B145" s="34" t="s">
        <v>19</v>
      </c>
      <c r="C145" s="59">
        <v>46048.0</v>
      </c>
      <c r="D145" s="34" t="s">
        <v>26</v>
      </c>
      <c r="E145" s="34" t="s">
        <v>26</v>
      </c>
      <c r="F145" s="34" t="s">
        <v>26</v>
      </c>
      <c r="G145" s="34" t="s">
        <v>26</v>
      </c>
      <c r="H145" s="34" t="s">
        <v>26</v>
      </c>
      <c r="I145" s="34" t="s">
        <v>26</v>
      </c>
      <c r="J145" s="34" t="s">
        <v>26</v>
      </c>
      <c r="K145" s="34" t="s">
        <v>26</v>
      </c>
      <c r="L145" s="34" t="s">
        <v>26</v>
      </c>
      <c r="M145" s="34" t="s">
        <v>26</v>
      </c>
      <c r="N145" s="34" t="s">
        <v>26</v>
      </c>
    </row>
    <row r="146">
      <c r="A146" s="41"/>
      <c r="B146" s="34" t="s">
        <v>20</v>
      </c>
      <c r="C146" s="36">
        <v>46049.66666666667</v>
      </c>
      <c r="D146" s="19">
        <v>151.5</v>
      </c>
      <c r="E146" s="19">
        <v>151.69</v>
      </c>
      <c r="F146" s="19">
        <v>150.92</v>
      </c>
      <c r="G146" s="19">
        <v>151.6</v>
      </c>
      <c r="K146" s="34">
        <v>12.0</v>
      </c>
      <c r="L146" s="34">
        <v>1711.39</v>
      </c>
      <c r="M146" s="15">
        <f t="shared" ref="M146:M149" si="37">K146*G146</f>
        <v>1819.2</v>
      </c>
      <c r="N146" s="21">
        <f t="shared" ref="N146:N149" si="38">M146-L146</f>
        <v>107.81</v>
      </c>
    </row>
    <row r="147">
      <c r="A147" s="41"/>
      <c r="B147" s="34" t="s">
        <v>21</v>
      </c>
      <c r="C147" s="36">
        <v>46050.66666666667</v>
      </c>
      <c r="D147" s="19">
        <v>150.47</v>
      </c>
      <c r="E147" s="19">
        <v>151.0</v>
      </c>
      <c r="F147" s="19">
        <v>150.1</v>
      </c>
      <c r="G147" s="19">
        <v>150.78</v>
      </c>
      <c r="K147" s="34">
        <v>12.0</v>
      </c>
      <c r="L147" s="34">
        <v>1711.39</v>
      </c>
      <c r="M147" s="15">
        <f t="shared" si="37"/>
        <v>1809.36</v>
      </c>
      <c r="N147" s="21">
        <f t="shared" si="38"/>
        <v>97.97</v>
      </c>
    </row>
    <row r="148">
      <c r="A148" s="41"/>
      <c r="B148" s="34" t="s">
        <v>22</v>
      </c>
      <c r="C148" s="36">
        <v>46051.66666666667</v>
      </c>
      <c r="D148" s="19">
        <v>150.0</v>
      </c>
      <c r="E148" s="19">
        <v>150.18</v>
      </c>
      <c r="F148" s="19">
        <v>148.39</v>
      </c>
      <c r="G148" s="19">
        <v>148.43</v>
      </c>
      <c r="K148" s="34">
        <v>12.0</v>
      </c>
      <c r="L148" s="34">
        <v>1711.39</v>
      </c>
      <c r="M148" s="15">
        <f t="shared" si="37"/>
        <v>1781.16</v>
      </c>
      <c r="N148" s="21">
        <f t="shared" si="38"/>
        <v>69.77</v>
      </c>
    </row>
    <row r="149">
      <c r="A149" s="41"/>
      <c r="B149" s="34" t="s">
        <v>23</v>
      </c>
      <c r="C149" s="36">
        <v>46052.66666666667</v>
      </c>
      <c r="D149" s="19">
        <v>148.75</v>
      </c>
      <c r="E149" s="19">
        <v>149.52</v>
      </c>
      <c r="F149" s="19">
        <v>148.59</v>
      </c>
      <c r="G149" s="19">
        <v>149.28</v>
      </c>
      <c r="K149" s="34">
        <v>12.0</v>
      </c>
      <c r="L149" s="34">
        <v>1711.39</v>
      </c>
      <c r="M149" s="15">
        <f t="shared" si="37"/>
        <v>1791.36</v>
      </c>
      <c r="N149" s="21">
        <f t="shared" si="38"/>
        <v>79.97</v>
      </c>
    </row>
    <row r="150">
      <c r="A150" s="42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7"/>
    </row>
    <row r="151">
      <c r="A151" s="41"/>
      <c r="B151" s="34" t="s">
        <v>19</v>
      </c>
      <c r="C151" s="36">
        <v>46069.66666666667</v>
      </c>
      <c r="D151" s="19">
        <v>147.0</v>
      </c>
      <c r="E151" s="19">
        <v>147.99</v>
      </c>
      <c r="F151" s="19">
        <v>146.79</v>
      </c>
      <c r="G151" s="19">
        <v>146.87</v>
      </c>
      <c r="K151" s="34">
        <v>12.0</v>
      </c>
      <c r="L151" s="34">
        <v>1711.39</v>
      </c>
      <c r="M151" s="15">
        <f t="shared" ref="M151:M155" si="39">K151*G151</f>
        <v>1762.44</v>
      </c>
      <c r="N151" s="21">
        <f t="shared" ref="N151:N155" si="40">M151-L151</f>
        <v>51.05</v>
      </c>
    </row>
    <row r="152">
      <c r="A152" s="41"/>
      <c r="B152" s="34" t="s">
        <v>20</v>
      </c>
      <c r="C152" s="36">
        <v>46070.66666666667</v>
      </c>
      <c r="D152" s="19">
        <v>147.01</v>
      </c>
      <c r="E152" s="19">
        <v>147.2</v>
      </c>
      <c r="F152" s="19">
        <v>146.33</v>
      </c>
      <c r="G152" s="19">
        <v>146.34</v>
      </c>
      <c r="K152" s="34">
        <v>12.0</v>
      </c>
      <c r="L152" s="34">
        <v>1711.39</v>
      </c>
      <c r="M152" s="15">
        <f t="shared" si="39"/>
        <v>1756.08</v>
      </c>
      <c r="N152" s="21">
        <f t="shared" si="40"/>
        <v>44.69</v>
      </c>
    </row>
    <row r="153">
      <c r="A153" s="41"/>
      <c r="B153" s="34" t="s">
        <v>21</v>
      </c>
      <c r="C153" s="36">
        <v>46071.66666666667</v>
      </c>
      <c r="D153" s="19">
        <v>147.0</v>
      </c>
      <c r="E153" s="19">
        <v>147.56</v>
      </c>
      <c r="F153" s="19">
        <v>146.78</v>
      </c>
      <c r="G153" s="19">
        <v>147.43</v>
      </c>
      <c r="K153" s="34">
        <v>12.0</v>
      </c>
      <c r="L153" s="34">
        <v>1711.39</v>
      </c>
      <c r="M153" s="15">
        <f t="shared" si="39"/>
        <v>1769.16</v>
      </c>
      <c r="N153" s="21">
        <f t="shared" si="40"/>
        <v>57.77</v>
      </c>
    </row>
    <row r="154">
      <c r="A154" s="41"/>
      <c r="B154" s="34" t="s">
        <v>22</v>
      </c>
      <c r="C154" s="36">
        <v>46072.66666666667</v>
      </c>
      <c r="D154" s="19">
        <v>148.6</v>
      </c>
      <c r="E154" s="19">
        <v>148.9</v>
      </c>
      <c r="F154" s="19">
        <v>148.12</v>
      </c>
      <c r="G154" s="19">
        <v>148.49</v>
      </c>
      <c r="K154" s="34">
        <v>12.0</v>
      </c>
      <c r="L154" s="34">
        <v>1711.39</v>
      </c>
      <c r="M154" s="15">
        <f t="shared" si="39"/>
        <v>1781.88</v>
      </c>
      <c r="N154" s="21">
        <f t="shared" si="40"/>
        <v>70.49</v>
      </c>
    </row>
    <row r="155">
      <c r="A155" s="50" t="s">
        <v>18</v>
      </c>
      <c r="B155" s="13" t="s">
        <v>23</v>
      </c>
      <c r="C155" s="39">
        <v>46073.66666666667</v>
      </c>
      <c r="D155" s="11">
        <v>147.93</v>
      </c>
      <c r="E155" s="11">
        <v>148.82</v>
      </c>
      <c r="F155" s="11">
        <v>147.6</v>
      </c>
      <c r="G155" s="11">
        <v>148.52</v>
      </c>
      <c r="H155" s="12"/>
      <c r="I155" s="13">
        <v>1.0</v>
      </c>
      <c r="J155" s="13">
        <v>148.59</v>
      </c>
      <c r="K155" s="13">
        <v>13.0</v>
      </c>
      <c r="L155" s="13">
        <f t="shared" ref="L155:L158" si="41">L154+J155</f>
        <v>1859.98</v>
      </c>
      <c r="M155" s="12">
        <f t="shared" si="39"/>
        <v>1930.76</v>
      </c>
      <c r="N155" s="14">
        <f t="shared" si="40"/>
        <v>70.78</v>
      </c>
    </row>
    <row r="156">
      <c r="A156" s="50" t="s">
        <v>18</v>
      </c>
      <c r="B156" s="12"/>
      <c r="C156" s="9">
        <v>46105.0</v>
      </c>
      <c r="D156" s="12"/>
      <c r="E156" s="12"/>
      <c r="F156" s="12"/>
      <c r="G156" s="12"/>
      <c r="H156" s="12"/>
      <c r="I156" s="13">
        <v>1.0</v>
      </c>
      <c r="J156" s="13">
        <v>141.09</v>
      </c>
      <c r="K156" s="13">
        <v>14.0</v>
      </c>
      <c r="L156" s="13">
        <f t="shared" si="41"/>
        <v>2001.07</v>
      </c>
      <c r="M156" s="12"/>
      <c r="N156" s="14"/>
    </row>
    <row r="157">
      <c r="A157" s="50" t="s">
        <v>18</v>
      </c>
      <c r="B157" s="12"/>
      <c r="C157" s="9">
        <v>46136.0</v>
      </c>
      <c r="D157" s="12"/>
      <c r="E157" s="12"/>
      <c r="F157" s="12"/>
      <c r="G157" s="12"/>
      <c r="H157" s="12"/>
      <c r="I157" s="13">
        <v>1.0</v>
      </c>
      <c r="J157" s="13">
        <v>149.29</v>
      </c>
      <c r="K157" s="13">
        <v>15.0</v>
      </c>
      <c r="L157" s="13">
        <f t="shared" si="41"/>
        <v>2150.36</v>
      </c>
      <c r="M157" s="12"/>
      <c r="N157" s="14"/>
    </row>
    <row r="158">
      <c r="A158" s="50" t="s">
        <v>18</v>
      </c>
      <c r="B158" s="12"/>
      <c r="C158" s="9">
        <v>46157.0</v>
      </c>
      <c r="D158" s="12"/>
      <c r="E158" s="12"/>
      <c r="F158" s="12"/>
      <c r="G158" s="12"/>
      <c r="H158" s="12"/>
      <c r="I158" s="13">
        <v>1.0</v>
      </c>
      <c r="J158" s="13">
        <v>153.92</v>
      </c>
      <c r="K158" s="13">
        <v>16.0</v>
      </c>
      <c r="L158" s="13">
        <f t="shared" si="41"/>
        <v>2304.28</v>
      </c>
      <c r="M158" s="12"/>
      <c r="N158" s="14"/>
    </row>
    <row r="159">
      <c r="A159" s="42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7"/>
    </row>
    <row r="160">
      <c r="A160" s="41"/>
      <c r="B160" s="34" t="s">
        <v>19</v>
      </c>
      <c r="C160" s="36">
        <v>46160.66666666667</v>
      </c>
      <c r="D160" s="19">
        <v>153.44</v>
      </c>
      <c r="E160" s="19">
        <v>153.44</v>
      </c>
      <c r="F160" s="19">
        <v>152.56</v>
      </c>
      <c r="G160" s="19">
        <v>152.61</v>
      </c>
      <c r="J160" s="34">
        <v>153.92</v>
      </c>
      <c r="K160" s="34">
        <v>16.0</v>
      </c>
      <c r="L160" s="34">
        <v>2304.28</v>
      </c>
      <c r="M160" s="15">
        <f t="shared" ref="M160:M164" si="42">K160*G160</f>
        <v>2441.76</v>
      </c>
      <c r="N160" s="21">
        <f t="shared" ref="N160:N164" si="43">M160-L160</f>
        <v>137.48</v>
      </c>
    </row>
    <row r="161">
      <c r="A161" s="41"/>
      <c r="B161" s="34" t="s">
        <v>20</v>
      </c>
      <c r="C161" s="36">
        <v>46161.66666666667</v>
      </c>
      <c r="D161" s="19">
        <v>153.18</v>
      </c>
      <c r="E161" s="19">
        <v>153.57</v>
      </c>
      <c r="F161" s="19">
        <v>153.17</v>
      </c>
      <c r="G161" s="19">
        <v>153.35</v>
      </c>
      <c r="J161" s="34">
        <v>153.92</v>
      </c>
      <c r="K161" s="34">
        <v>16.0</v>
      </c>
      <c r="L161" s="34">
        <v>2304.28</v>
      </c>
      <c r="M161" s="15">
        <f t="shared" si="42"/>
        <v>2453.6</v>
      </c>
      <c r="N161" s="21">
        <f t="shared" si="43"/>
        <v>149.32</v>
      </c>
    </row>
    <row r="162">
      <c r="A162" s="41"/>
      <c r="B162" s="34" t="s">
        <v>21</v>
      </c>
      <c r="C162" s="36">
        <v>46162.66666666667</v>
      </c>
      <c r="D162" s="19">
        <v>153.65</v>
      </c>
      <c r="E162" s="19">
        <v>153.77</v>
      </c>
      <c r="F162" s="19">
        <v>153.03</v>
      </c>
      <c r="G162" s="19">
        <v>153.49</v>
      </c>
      <c r="J162" s="34">
        <v>153.92</v>
      </c>
      <c r="K162" s="34">
        <v>16.0</v>
      </c>
      <c r="L162" s="34">
        <v>2304.28</v>
      </c>
      <c r="M162" s="15">
        <f t="shared" si="42"/>
        <v>2455.84</v>
      </c>
      <c r="N162" s="21">
        <f t="shared" si="43"/>
        <v>151.56</v>
      </c>
    </row>
    <row r="163">
      <c r="A163" s="41"/>
      <c r="B163" s="34" t="s">
        <v>22</v>
      </c>
      <c r="C163" s="36">
        <v>46163.66666666667</v>
      </c>
      <c r="D163" s="19">
        <v>153.77</v>
      </c>
      <c r="E163" s="19">
        <v>155.2</v>
      </c>
      <c r="F163" s="19">
        <v>153.77</v>
      </c>
      <c r="G163" s="19">
        <v>154.88</v>
      </c>
      <c r="J163" s="34">
        <v>153.92</v>
      </c>
      <c r="K163" s="34">
        <v>16.0</v>
      </c>
      <c r="L163" s="34">
        <v>2304.28</v>
      </c>
      <c r="M163" s="15">
        <f t="shared" si="42"/>
        <v>2478.08</v>
      </c>
      <c r="N163" s="21">
        <f t="shared" si="43"/>
        <v>173.8</v>
      </c>
    </row>
    <row r="164">
      <c r="A164" s="41"/>
      <c r="B164" s="34" t="s">
        <v>23</v>
      </c>
      <c r="C164" s="36">
        <v>46164.66666666667</v>
      </c>
      <c r="D164" s="19">
        <v>155.22</v>
      </c>
      <c r="E164" s="19">
        <v>155.71</v>
      </c>
      <c r="F164" s="19">
        <v>155.17</v>
      </c>
      <c r="G164" s="19">
        <v>155.54</v>
      </c>
      <c r="J164" s="34">
        <v>153.92</v>
      </c>
      <c r="K164" s="34">
        <v>16.0</v>
      </c>
      <c r="L164" s="34">
        <v>2304.28</v>
      </c>
      <c r="M164" s="15">
        <f t="shared" si="42"/>
        <v>2488.64</v>
      </c>
      <c r="N164" s="21">
        <f t="shared" si="43"/>
        <v>184.36</v>
      </c>
    </row>
    <row r="165">
      <c r="A165" s="42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7"/>
    </row>
    <row r="166">
      <c r="A166" s="57"/>
      <c r="B166" s="15"/>
      <c r="C166" s="60">
        <v>46198.0</v>
      </c>
      <c r="D166" s="19">
        <v>156.22</v>
      </c>
      <c r="E166" s="19">
        <v>156.74</v>
      </c>
      <c r="F166" s="19">
        <v>156.2</v>
      </c>
      <c r="G166" s="19">
        <v>156.61</v>
      </c>
      <c r="H166" s="5"/>
      <c r="I166" s="20"/>
      <c r="J166" s="20"/>
      <c r="K166" s="20">
        <v>16.0</v>
      </c>
      <c r="L166" s="20">
        <v>2304.28</v>
      </c>
      <c r="M166" s="15">
        <f>K166*G166</f>
        <v>2505.76</v>
      </c>
      <c r="N166" s="21">
        <f>M166-L166</f>
        <v>201.48</v>
      </c>
      <c r="O166" s="15"/>
      <c r="P166" s="20"/>
      <c r="Q166" s="20"/>
      <c r="R166" s="15"/>
      <c r="S166" s="15"/>
    </row>
    <row r="167">
      <c r="A167" s="41"/>
      <c r="B167" s="61" t="s">
        <v>27</v>
      </c>
      <c r="C167" s="62">
        <f>N166/G166</f>
        <v>1.286507886</v>
      </c>
      <c r="D167" s="61" t="s">
        <v>28</v>
      </c>
      <c r="E167" s="63">
        <v>1.0</v>
      </c>
      <c r="F167" s="61" t="s">
        <v>29</v>
      </c>
      <c r="G167" s="64">
        <f>E167*G166</f>
        <v>156.61</v>
      </c>
      <c r="H167" s="65"/>
      <c r="I167" s="65"/>
      <c r="J167" s="66" t="s">
        <v>30</v>
      </c>
      <c r="K167" s="67">
        <f>K166-E167</f>
        <v>15</v>
      </c>
      <c r="L167" s="66">
        <v>2304.28</v>
      </c>
      <c r="M167" s="65"/>
      <c r="N167" s="68"/>
      <c r="O167" s="15"/>
      <c r="P167" s="66">
        <v>1.0</v>
      </c>
      <c r="Q167" s="66">
        <v>156.3</v>
      </c>
      <c r="R167" s="66">
        <v>156.3</v>
      </c>
      <c r="S167" s="66">
        <v>156.3</v>
      </c>
    </row>
    <row r="168">
      <c r="A168" s="41"/>
      <c r="C168" s="59">
        <v>46199.0</v>
      </c>
      <c r="D168" s="19">
        <v>156.61</v>
      </c>
      <c r="E168" s="19">
        <v>156.62</v>
      </c>
      <c r="F168" s="19">
        <v>156.22</v>
      </c>
      <c r="G168" s="19">
        <v>156.48</v>
      </c>
      <c r="K168" s="34">
        <v>15.0</v>
      </c>
      <c r="L168" s="20">
        <v>2304.28</v>
      </c>
      <c r="M168" s="15">
        <f t="shared" ref="M168:M170" si="44">K168*G168</f>
        <v>2347.2</v>
      </c>
      <c r="N168" s="21">
        <f t="shared" ref="N168:N170" si="45">M168-L168</f>
        <v>42.92</v>
      </c>
    </row>
    <row r="169">
      <c r="A169" s="41"/>
      <c r="C169" s="59">
        <v>46200.0</v>
      </c>
      <c r="D169" s="19">
        <v>156.22</v>
      </c>
      <c r="E169" s="19">
        <v>156.49</v>
      </c>
      <c r="F169" s="19">
        <v>156.0</v>
      </c>
      <c r="G169" s="19">
        <v>156.37</v>
      </c>
      <c r="K169" s="34">
        <v>15.0</v>
      </c>
      <c r="L169" s="20">
        <v>2304.28</v>
      </c>
      <c r="M169" s="15">
        <f t="shared" si="44"/>
        <v>2345.55</v>
      </c>
      <c r="N169" s="21">
        <f t="shared" si="45"/>
        <v>41.27</v>
      </c>
    </row>
    <row r="170">
      <c r="A170" s="41"/>
      <c r="C170" s="59">
        <v>46201.0</v>
      </c>
      <c r="D170" s="19">
        <v>156.5</v>
      </c>
      <c r="E170" s="19">
        <v>157.08</v>
      </c>
      <c r="F170" s="19">
        <v>156.3</v>
      </c>
      <c r="G170" s="19">
        <v>156.65</v>
      </c>
      <c r="K170" s="34">
        <v>15.0</v>
      </c>
      <c r="L170" s="20">
        <v>2304.28</v>
      </c>
      <c r="M170" s="15">
        <f t="shared" si="44"/>
        <v>2349.75</v>
      </c>
      <c r="N170" s="21">
        <f t="shared" si="45"/>
        <v>45.47</v>
      </c>
    </row>
    <row r="171">
      <c r="A171" s="41"/>
      <c r="C171" s="59">
        <v>46202.0</v>
      </c>
      <c r="N171" s="51"/>
    </row>
    <row r="172">
      <c r="A172" s="42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7"/>
    </row>
    <row r="173">
      <c r="A173" s="41"/>
      <c r="B173" s="36">
        <v>46174.66666666667</v>
      </c>
      <c r="C173" s="34" t="s">
        <v>19</v>
      </c>
      <c r="D173" s="19">
        <v>156.95</v>
      </c>
      <c r="E173" s="19">
        <v>157.16</v>
      </c>
      <c r="F173" s="19">
        <v>156.78</v>
      </c>
      <c r="G173" s="19">
        <v>156.99</v>
      </c>
      <c r="K173" s="34">
        <v>15.0</v>
      </c>
      <c r="L173" s="20">
        <v>2304.28</v>
      </c>
      <c r="M173" s="15">
        <f t="shared" ref="M173:M176" si="46">K173*G173</f>
        <v>2354.85</v>
      </c>
      <c r="N173" s="21">
        <f t="shared" ref="N173:N176" si="47">M173-L173</f>
        <v>50.57</v>
      </c>
    </row>
    <row r="174">
      <c r="A174" s="41"/>
      <c r="B174" s="36">
        <v>46175.66666666667</v>
      </c>
      <c r="C174" s="34" t="s">
        <v>20</v>
      </c>
      <c r="D174" s="19">
        <v>157.0</v>
      </c>
      <c r="E174" s="19">
        <v>157.01</v>
      </c>
      <c r="F174" s="19">
        <v>156.52</v>
      </c>
      <c r="G174" s="19">
        <v>156.99</v>
      </c>
      <c r="K174" s="34">
        <v>15.0</v>
      </c>
      <c r="L174" s="20">
        <v>2304.28</v>
      </c>
      <c r="M174" s="15">
        <f t="shared" si="46"/>
        <v>2354.85</v>
      </c>
      <c r="N174" s="21">
        <f t="shared" si="47"/>
        <v>50.57</v>
      </c>
    </row>
    <row r="175">
      <c r="A175" s="41"/>
      <c r="B175" s="36">
        <v>46176.66666666667</v>
      </c>
      <c r="C175" s="34" t="s">
        <v>21</v>
      </c>
      <c r="D175" s="19">
        <v>157.37</v>
      </c>
      <c r="E175" s="19">
        <v>157.79</v>
      </c>
      <c r="F175" s="19">
        <v>157.31</v>
      </c>
      <c r="G175" s="19">
        <v>157.66</v>
      </c>
      <c r="K175" s="34">
        <v>15.0</v>
      </c>
      <c r="L175" s="20">
        <v>2304.28</v>
      </c>
      <c r="M175" s="15">
        <f t="shared" si="46"/>
        <v>2364.9</v>
      </c>
      <c r="N175" s="21">
        <f t="shared" si="47"/>
        <v>60.62</v>
      </c>
    </row>
    <row r="176">
      <c r="A176" s="41"/>
      <c r="B176" s="36">
        <v>46177.66666666667</v>
      </c>
      <c r="C176" s="34" t="s">
        <v>22</v>
      </c>
      <c r="D176" s="19">
        <v>156.76</v>
      </c>
      <c r="E176" s="19">
        <v>157.05</v>
      </c>
      <c r="F176" s="19">
        <v>156.59</v>
      </c>
      <c r="G176" s="19">
        <v>156.83</v>
      </c>
      <c r="K176" s="34">
        <v>15.0</v>
      </c>
      <c r="L176" s="20">
        <v>2304.28</v>
      </c>
      <c r="M176" s="15">
        <f t="shared" si="46"/>
        <v>2352.45</v>
      </c>
      <c r="N176" s="21">
        <f t="shared" si="47"/>
        <v>48.17</v>
      </c>
    </row>
    <row r="177">
      <c r="A177" s="41"/>
      <c r="C177" s="34" t="s">
        <v>23</v>
      </c>
      <c r="N177" s="51"/>
    </row>
    <row r="178">
      <c r="A178" s="42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7"/>
    </row>
    <row r="179">
      <c r="A179" s="41"/>
      <c r="B179" s="36">
        <v>46188.66666666667</v>
      </c>
      <c r="C179" s="34" t="s">
        <v>19</v>
      </c>
      <c r="D179" s="19">
        <v>157.99</v>
      </c>
      <c r="E179" s="19">
        <v>158.98</v>
      </c>
      <c r="F179" s="19">
        <v>157.96</v>
      </c>
      <c r="G179" s="19">
        <v>158.82</v>
      </c>
      <c r="K179" s="34">
        <v>15.0</v>
      </c>
      <c r="L179" s="20">
        <v>2304.28</v>
      </c>
      <c r="M179" s="15">
        <f t="shared" ref="M179:M183" si="48">K179*G179</f>
        <v>2382.3</v>
      </c>
      <c r="N179" s="21">
        <f t="shared" ref="N179:N183" si="49">M179-L179</f>
        <v>78.02</v>
      </c>
    </row>
    <row r="180">
      <c r="A180" s="41"/>
      <c r="B180" s="36">
        <v>46189.66666666667</v>
      </c>
      <c r="C180" s="34" t="s">
        <v>20</v>
      </c>
      <c r="D180" s="19">
        <v>159.0</v>
      </c>
      <c r="E180" s="19">
        <v>159.67</v>
      </c>
      <c r="F180" s="19">
        <v>158.91</v>
      </c>
      <c r="G180" s="19">
        <v>159.63</v>
      </c>
      <c r="K180" s="34">
        <v>15.0</v>
      </c>
      <c r="L180" s="20">
        <v>2304.28</v>
      </c>
      <c r="M180" s="15">
        <f t="shared" si="48"/>
        <v>2394.45</v>
      </c>
      <c r="N180" s="21">
        <f t="shared" si="49"/>
        <v>90.17</v>
      </c>
    </row>
    <row r="181">
      <c r="A181" s="41"/>
      <c r="B181" s="36">
        <v>46190.66666666667</v>
      </c>
      <c r="C181" s="34" t="s">
        <v>21</v>
      </c>
      <c r="D181" s="19">
        <v>158.81</v>
      </c>
      <c r="E181" s="19">
        <v>159.34</v>
      </c>
      <c r="F181" s="19">
        <v>158.68</v>
      </c>
      <c r="G181" s="19">
        <v>159.29</v>
      </c>
      <c r="K181" s="34">
        <v>15.0</v>
      </c>
      <c r="L181" s="20">
        <v>2304.28</v>
      </c>
      <c r="M181" s="15">
        <f t="shared" si="48"/>
        <v>2389.35</v>
      </c>
      <c r="N181" s="21">
        <f t="shared" si="49"/>
        <v>85.07</v>
      </c>
    </row>
    <row r="182">
      <c r="A182" s="41"/>
      <c r="B182" s="36">
        <v>46191.66666666667</v>
      </c>
      <c r="C182" s="34" t="s">
        <v>22</v>
      </c>
      <c r="D182" s="19">
        <v>159.24</v>
      </c>
      <c r="E182" s="19">
        <v>159.49</v>
      </c>
      <c r="F182" s="19">
        <v>158.83</v>
      </c>
      <c r="G182" s="19">
        <v>159.05</v>
      </c>
      <c r="K182" s="34">
        <v>15.0</v>
      </c>
      <c r="L182" s="20">
        <v>2304.28</v>
      </c>
      <c r="M182" s="15">
        <f t="shared" si="48"/>
        <v>2385.75</v>
      </c>
      <c r="N182" s="21">
        <f t="shared" si="49"/>
        <v>81.47</v>
      </c>
    </row>
    <row r="183">
      <c r="A183" s="58"/>
      <c r="B183" s="39">
        <v>46192.66666666667</v>
      </c>
      <c r="C183" s="13" t="s">
        <v>23</v>
      </c>
      <c r="D183" s="11">
        <v>159.58</v>
      </c>
      <c r="E183" s="11">
        <v>159.69</v>
      </c>
      <c r="F183" s="11">
        <v>158.85</v>
      </c>
      <c r="G183" s="11">
        <v>158.9</v>
      </c>
      <c r="H183" s="12"/>
      <c r="I183" s="13">
        <v>2.0</v>
      </c>
      <c r="J183" s="13">
        <v>318.74</v>
      </c>
      <c r="K183" s="13">
        <v>17.0</v>
      </c>
      <c r="L183" s="12">
        <f>L182+J183</f>
        <v>2623.02</v>
      </c>
      <c r="M183" s="12">
        <f t="shared" si="48"/>
        <v>2701.3</v>
      </c>
      <c r="N183" s="14">
        <f t="shared" si="49"/>
        <v>78.28</v>
      </c>
    </row>
    <row r="184">
      <c r="A184" s="42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7"/>
    </row>
    <row r="185">
      <c r="A185" s="41"/>
      <c r="B185" s="36">
        <v>46195.66666666667</v>
      </c>
      <c r="C185" s="34" t="s">
        <v>19</v>
      </c>
      <c r="D185" s="19">
        <v>158.92</v>
      </c>
      <c r="E185" s="19">
        <v>159.51</v>
      </c>
      <c r="F185" s="19">
        <v>158.57</v>
      </c>
      <c r="G185" s="19">
        <v>159.51</v>
      </c>
      <c r="K185" s="20">
        <v>17.0</v>
      </c>
      <c r="L185" s="20">
        <v>2623.02</v>
      </c>
      <c r="M185" s="15">
        <f t="shared" ref="M185:M189" si="50">K185*G185</f>
        <v>2711.67</v>
      </c>
      <c r="N185" s="21">
        <f t="shared" ref="N185:N189" si="51">M185-L185</f>
        <v>88.65</v>
      </c>
    </row>
    <row r="186">
      <c r="A186" s="41"/>
      <c r="B186" s="36">
        <v>46196.66666666667</v>
      </c>
      <c r="C186" s="34" t="s">
        <v>20</v>
      </c>
      <c r="D186" s="19">
        <v>159.6</v>
      </c>
      <c r="E186" s="19">
        <v>159.83</v>
      </c>
      <c r="F186" s="19">
        <v>158.64</v>
      </c>
      <c r="G186" s="19">
        <v>158.64</v>
      </c>
      <c r="K186" s="20">
        <v>17.0</v>
      </c>
      <c r="L186" s="20">
        <v>2623.02</v>
      </c>
      <c r="M186" s="15">
        <f t="shared" si="50"/>
        <v>2696.88</v>
      </c>
      <c r="N186" s="21">
        <f t="shared" si="51"/>
        <v>73.86</v>
      </c>
    </row>
    <row r="187">
      <c r="A187" s="41"/>
      <c r="B187" s="36">
        <v>46197.66666666667</v>
      </c>
      <c r="C187" s="34" t="s">
        <v>21</v>
      </c>
      <c r="D187" s="19">
        <v>159.31</v>
      </c>
      <c r="E187" s="19">
        <v>159.7</v>
      </c>
      <c r="F187" s="19">
        <v>159.23</v>
      </c>
      <c r="G187" s="19">
        <v>159.43</v>
      </c>
      <c r="K187" s="20">
        <v>17.0</v>
      </c>
      <c r="L187" s="20">
        <v>2623.02</v>
      </c>
      <c r="M187" s="15">
        <f t="shared" si="50"/>
        <v>2710.31</v>
      </c>
      <c r="N187" s="21">
        <f t="shared" si="51"/>
        <v>87.29</v>
      </c>
    </row>
    <row r="188">
      <c r="A188" s="41"/>
      <c r="B188" s="36">
        <v>46198.66666666667</v>
      </c>
      <c r="C188" s="34" t="s">
        <v>22</v>
      </c>
      <c r="D188" s="19">
        <v>160.2</v>
      </c>
      <c r="E188" s="19">
        <v>160.5</v>
      </c>
      <c r="F188" s="19">
        <v>159.87</v>
      </c>
      <c r="G188" s="19">
        <v>160.5</v>
      </c>
      <c r="K188" s="20">
        <v>17.0</v>
      </c>
      <c r="L188" s="20">
        <v>2623.02</v>
      </c>
      <c r="M188" s="15">
        <f t="shared" si="50"/>
        <v>2728.5</v>
      </c>
      <c r="N188" s="21">
        <f t="shared" si="51"/>
        <v>105.48</v>
      </c>
    </row>
    <row r="189">
      <c r="A189" s="41"/>
      <c r="B189" s="36">
        <v>46199.66666666667</v>
      </c>
      <c r="C189" s="34" t="s">
        <v>23</v>
      </c>
      <c r="D189" s="19">
        <v>159.5</v>
      </c>
      <c r="E189" s="19">
        <v>159.8</v>
      </c>
      <c r="F189" s="19">
        <v>158.42</v>
      </c>
      <c r="G189" s="19">
        <v>158.64</v>
      </c>
      <c r="K189" s="20">
        <v>17.0</v>
      </c>
      <c r="L189" s="20">
        <v>2623.02</v>
      </c>
      <c r="M189" s="15">
        <f t="shared" si="50"/>
        <v>2696.88</v>
      </c>
      <c r="N189" s="21">
        <f t="shared" si="51"/>
        <v>73.86</v>
      </c>
    </row>
    <row r="190">
      <c r="A190" s="42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7"/>
    </row>
    <row r="191">
      <c r="A191" s="41"/>
      <c r="N191" s="51"/>
    </row>
    <row r="192">
      <c r="A192" s="41"/>
      <c r="N192" s="51"/>
    </row>
    <row r="193">
      <c r="A193" s="41"/>
      <c r="N193" s="51"/>
    </row>
    <row r="194">
      <c r="A194" s="41"/>
      <c r="N194" s="51"/>
    </row>
    <row r="195">
      <c r="A195" s="41"/>
      <c r="N195" s="51"/>
    </row>
    <row r="196">
      <c r="A196" s="41"/>
      <c r="N196" s="51"/>
    </row>
    <row r="197">
      <c r="A197" s="41"/>
      <c r="N197" s="51"/>
    </row>
    <row r="198">
      <c r="A198" s="41"/>
      <c r="N198" s="51"/>
    </row>
    <row r="199">
      <c r="A199" s="41"/>
      <c r="N199" s="51"/>
    </row>
    <row r="200">
      <c r="A200" s="41"/>
      <c r="N200" s="51"/>
    </row>
    <row r="201">
      <c r="A201" s="41"/>
      <c r="N201" s="51"/>
    </row>
    <row r="202">
      <c r="A202" s="41"/>
      <c r="N202" s="51"/>
    </row>
    <row r="203">
      <c r="A203" s="41"/>
      <c r="N203" s="51"/>
    </row>
    <row r="204">
      <c r="A204" s="41"/>
      <c r="N204" s="51"/>
    </row>
    <row r="205">
      <c r="A205" s="41"/>
      <c r="N205" s="51"/>
    </row>
    <row r="206">
      <c r="A206" s="41"/>
      <c r="N206" s="51"/>
    </row>
    <row r="207">
      <c r="A207" s="41"/>
      <c r="N207" s="51"/>
    </row>
    <row r="208">
      <c r="A208" s="41"/>
      <c r="N208" s="51"/>
    </row>
    <row r="209">
      <c r="A209" s="41"/>
      <c r="N209" s="51"/>
    </row>
    <row r="210">
      <c r="A210" s="41"/>
      <c r="N210" s="51"/>
    </row>
    <row r="211">
      <c r="A211" s="41"/>
      <c r="N211" s="51"/>
    </row>
    <row r="212">
      <c r="A212" s="41"/>
      <c r="N212" s="51"/>
    </row>
    <row r="213">
      <c r="A213" s="41"/>
      <c r="N213" s="51"/>
    </row>
    <row r="214">
      <c r="A214" s="41"/>
      <c r="N214" s="51"/>
    </row>
    <row r="215">
      <c r="A215" s="41"/>
      <c r="N215" s="51"/>
    </row>
    <row r="216">
      <c r="A216" s="41"/>
      <c r="N216" s="51"/>
    </row>
    <row r="217">
      <c r="A217" s="41"/>
      <c r="N217" s="51"/>
    </row>
    <row r="218">
      <c r="A218" s="41"/>
      <c r="N218" s="51"/>
    </row>
    <row r="219">
      <c r="A219" s="41"/>
      <c r="N219" s="51"/>
    </row>
    <row r="220">
      <c r="A220" s="41"/>
      <c r="N220" s="51"/>
    </row>
    <row r="221">
      <c r="A221" s="41"/>
      <c r="N221" s="51"/>
    </row>
    <row r="222">
      <c r="A222" s="41"/>
      <c r="N222" s="51"/>
    </row>
    <row r="223">
      <c r="A223" s="41"/>
      <c r="N223" s="51"/>
    </row>
    <row r="224">
      <c r="A224" s="41"/>
      <c r="N224" s="51"/>
    </row>
    <row r="225">
      <c r="A225" s="41"/>
      <c r="N225" s="51"/>
    </row>
    <row r="226">
      <c r="A226" s="41"/>
      <c r="N226" s="51"/>
    </row>
    <row r="227">
      <c r="A227" s="41"/>
      <c r="N227" s="51"/>
    </row>
    <row r="228">
      <c r="A228" s="41"/>
      <c r="N228" s="51"/>
    </row>
    <row r="229">
      <c r="A229" s="41"/>
      <c r="N229" s="51"/>
    </row>
    <row r="230">
      <c r="A230" s="41"/>
      <c r="N230" s="51"/>
    </row>
    <row r="231">
      <c r="A231" s="41"/>
      <c r="N231" s="51"/>
    </row>
    <row r="232">
      <c r="A232" s="41"/>
      <c r="N232" s="51"/>
    </row>
    <row r="233">
      <c r="A233" s="41"/>
      <c r="N233" s="51"/>
    </row>
    <row r="234">
      <c r="A234" s="41"/>
      <c r="N234" s="51"/>
    </row>
    <row r="235">
      <c r="A235" s="41"/>
      <c r="N235" s="51"/>
    </row>
    <row r="236">
      <c r="A236" s="41"/>
      <c r="N236" s="51"/>
    </row>
    <row r="237">
      <c r="A237" s="41"/>
      <c r="N237" s="51"/>
    </row>
    <row r="238">
      <c r="A238" s="41"/>
      <c r="N238" s="51"/>
    </row>
    <row r="239">
      <c r="A239" s="41"/>
      <c r="N239" s="51"/>
    </row>
    <row r="240">
      <c r="A240" s="41"/>
      <c r="N240" s="51"/>
    </row>
    <row r="241">
      <c r="A241" s="41"/>
      <c r="N241" s="51"/>
    </row>
    <row r="242">
      <c r="A242" s="41"/>
      <c r="N242" s="51"/>
    </row>
    <row r="243">
      <c r="A243" s="41"/>
      <c r="N243" s="51"/>
    </row>
    <row r="244">
      <c r="A244" s="41"/>
      <c r="N244" s="51"/>
    </row>
    <row r="245">
      <c r="A245" s="41"/>
      <c r="N245" s="51"/>
    </row>
    <row r="246">
      <c r="A246" s="41"/>
      <c r="N246" s="51"/>
    </row>
    <row r="247">
      <c r="A247" s="41"/>
      <c r="N247" s="51"/>
    </row>
    <row r="248">
      <c r="A248" s="41"/>
      <c r="N248" s="51"/>
    </row>
    <row r="249">
      <c r="A249" s="41"/>
      <c r="N249" s="51"/>
    </row>
    <row r="250">
      <c r="A250" s="41"/>
      <c r="N250" s="51"/>
    </row>
    <row r="251">
      <c r="A251" s="41"/>
      <c r="N251" s="51"/>
    </row>
    <row r="252">
      <c r="A252" s="41"/>
      <c r="N252" s="51"/>
    </row>
    <row r="253">
      <c r="A253" s="41"/>
      <c r="N253" s="51"/>
    </row>
    <row r="254">
      <c r="A254" s="41"/>
      <c r="N254" s="51"/>
    </row>
    <row r="255">
      <c r="A255" s="41"/>
      <c r="N255" s="51"/>
    </row>
    <row r="256">
      <c r="A256" s="41"/>
      <c r="N256" s="51"/>
    </row>
    <row r="257">
      <c r="A257" s="41"/>
      <c r="N257" s="51"/>
    </row>
    <row r="258">
      <c r="A258" s="41"/>
      <c r="N258" s="51"/>
    </row>
    <row r="259">
      <c r="A259" s="41"/>
      <c r="N259" s="51"/>
    </row>
    <row r="260">
      <c r="A260" s="41"/>
      <c r="N260" s="51"/>
    </row>
    <row r="261">
      <c r="A261" s="41"/>
      <c r="N261" s="51"/>
    </row>
    <row r="262">
      <c r="A262" s="41"/>
      <c r="N262" s="51"/>
    </row>
    <row r="263">
      <c r="A263" s="41"/>
      <c r="N263" s="51"/>
    </row>
    <row r="264">
      <c r="A264" s="41"/>
      <c r="N264" s="51"/>
    </row>
    <row r="265">
      <c r="A265" s="41"/>
      <c r="N265" s="51"/>
    </row>
    <row r="266">
      <c r="A266" s="41"/>
      <c r="N266" s="51"/>
    </row>
    <row r="267">
      <c r="A267" s="41"/>
      <c r="N267" s="51"/>
    </row>
    <row r="268">
      <c r="A268" s="41"/>
      <c r="N268" s="51"/>
    </row>
    <row r="269">
      <c r="A269" s="41"/>
      <c r="N269" s="51"/>
    </row>
    <row r="270">
      <c r="A270" s="41"/>
      <c r="N270" s="51"/>
    </row>
    <row r="271">
      <c r="A271" s="41"/>
      <c r="N271" s="51"/>
    </row>
    <row r="272">
      <c r="A272" s="41"/>
      <c r="N272" s="51"/>
    </row>
    <row r="273">
      <c r="A273" s="41"/>
      <c r="N273" s="51"/>
    </row>
    <row r="274">
      <c r="A274" s="41"/>
      <c r="N274" s="51"/>
    </row>
    <row r="275">
      <c r="A275" s="41"/>
      <c r="N275" s="51"/>
    </row>
    <row r="276">
      <c r="A276" s="41"/>
      <c r="N276" s="51"/>
    </row>
    <row r="277">
      <c r="A277" s="41"/>
      <c r="N277" s="51"/>
    </row>
    <row r="278">
      <c r="A278" s="41"/>
      <c r="N278" s="51"/>
    </row>
    <row r="279">
      <c r="A279" s="41"/>
      <c r="N279" s="51"/>
    </row>
    <row r="280">
      <c r="A280" s="41"/>
      <c r="N280" s="51"/>
    </row>
    <row r="281">
      <c r="A281" s="41"/>
      <c r="N281" s="51"/>
    </row>
    <row r="282">
      <c r="A282" s="41"/>
      <c r="N282" s="51"/>
    </row>
    <row r="283">
      <c r="A283" s="41"/>
      <c r="N283" s="51"/>
    </row>
    <row r="284">
      <c r="A284" s="41"/>
      <c r="N284" s="51"/>
    </row>
    <row r="285">
      <c r="A285" s="41"/>
      <c r="N285" s="51"/>
    </row>
    <row r="286">
      <c r="A286" s="41"/>
      <c r="N286" s="51"/>
    </row>
    <row r="287">
      <c r="A287" s="41"/>
      <c r="N287" s="51"/>
    </row>
    <row r="288">
      <c r="A288" s="41"/>
      <c r="N288" s="51"/>
    </row>
    <row r="289">
      <c r="A289" s="41"/>
      <c r="N289" s="51"/>
    </row>
    <row r="290">
      <c r="A290" s="41"/>
      <c r="N290" s="51"/>
    </row>
    <row r="291">
      <c r="A291" s="41"/>
      <c r="N291" s="51"/>
    </row>
    <row r="292">
      <c r="A292" s="41"/>
      <c r="N292" s="51"/>
    </row>
    <row r="293">
      <c r="A293" s="41"/>
      <c r="N293" s="51"/>
    </row>
    <row r="294">
      <c r="A294" s="41"/>
      <c r="N294" s="51"/>
    </row>
    <row r="295">
      <c r="A295" s="41"/>
      <c r="N295" s="51"/>
    </row>
    <row r="296">
      <c r="A296" s="41"/>
      <c r="N296" s="51"/>
    </row>
    <row r="297">
      <c r="A297" s="41"/>
      <c r="N297" s="51"/>
    </row>
    <row r="298">
      <c r="A298" s="41"/>
      <c r="N298" s="51"/>
    </row>
    <row r="299">
      <c r="A299" s="41"/>
      <c r="N299" s="51"/>
    </row>
    <row r="300">
      <c r="A300" s="41"/>
      <c r="N300" s="51"/>
    </row>
    <row r="301">
      <c r="A301" s="41"/>
      <c r="N301" s="51"/>
    </row>
    <row r="302">
      <c r="A302" s="41"/>
      <c r="N302" s="51"/>
    </row>
    <row r="303">
      <c r="A303" s="41"/>
      <c r="N303" s="51"/>
    </row>
    <row r="304">
      <c r="A304" s="41"/>
      <c r="N304" s="51"/>
    </row>
    <row r="305">
      <c r="A305" s="41"/>
      <c r="N305" s="51"/>
    </row>
    <row r="306">
      <c r="A306" s="41"/>
      <c r="N306" s="51"/>
    </row>
    <row r="307">
      <c r="A307" s="41"/>
      <c r="N307" s="51"/>
    </row>
    <row r="308">
      <c r="A308" s="41"/>
      <c r="N308" s="51"/>
    </row>
    <row r="309">
      <c r="A309" s="41"/>
      <c r="N309" s="51"/>
    </row>
    <row r="310">
      <c r="A310" s="41"/>
      <c r="N310" s="51"/>
    </row>
    <row r="311">
      <c r="A311" s="41"/>
      <c r="N311" s="51"/>
    </row>
    <row r="312">
      <c r="A312" s="41"/>
      <c r="N312" s="51"/>
    </row>
    <row r="313">
      <c r="A313" s="41"/>
      <c r="N313" s="51"/>
    </row>
    <row r="314">
      <c r="A314" s="41"/>
      <c r="N314" s="51"/>
    </row>
    <row r="315">
      <c r="A315" s="41"/>
      <c r="N315" s="51"/>
    </row>
    <row r="316">
      <c r="A316" s="41"/>
      <c r="N316" s="51"/>
    </row>
    <row r="317">
      <c r="A317" s="41"/>
      <c r="N317" s="51"/>
    </row>
    <row r="318">
      <c r="A318" s="41"/>
      <c r="N318" s="51"/>
    </row>
    <row r="319">
      <c r="A319" s="41"/>
      <c r="N319" s="51"/>
    </row>
    <row r="320">
      <c r="A320" s="41"/>
      <c r="N320" s="51"/>
    </row>
    <row r="321">
      <c r="A321" s="41"/>
      <c r="N321" s="51"/>
    </row>
    <row r="322">
      <c r="A322" s="41"/>
      <c r="N322" s="51"/>
    </row>
    <row r="323">
      <c r="A323" s="41"/>
      <c r="N323" s="51"/>
    </row>
    <row r="324">
      <c r="A324" s="41"/>
      <c r="N324" s="51"/>
    </row>
    <row r="325">
      <c r="A325" s="41"/>
      <c r="N325" s="51"/>
    </row>
    <row r="326">
      <c r="A326" s="41"/>
      <c r="N326" s="51"/>
    </row>
    <row r="327">
      <c r="A327" s="41"/>
      <c r="N327" s="51"/>
    </row>
    <row r="328">
      <c r="A328" s="41"/>
      <c r="N328" s="51"/>
    </row>
    <row r="329">
      <c r="A329" s="41"/>
      <c r="N329" s="51"/>
    </row>
    <row r="330">
      <c r="A330" s="41"/>
      <c r="N330" s="51"/>
    </row>
    <row r="331">
      <c r="A331" s="41"/>
      <c r="N331" s="51"/>
    </row>
    <row r="332">
      <c r="A332" s="41"/>
      <c r="N332" s="51"/>
    </row>
    <row r="333">
      <c r="A333" s="41"/>
      <c r="N333" s="51"/>
    </row>
    <row r="334">
      <c r="A334" s="41"/>
      <c r="N334" s="51"/>
    </row>
    <row r="335">
      <c r="A335" s="41"/>
      <c r="N335" s="51"/>
    </row>
    <row r="336">
      <c r="A336" s="41"/>
      <c r="N336" s="51"/>
    </row>
    <row r="337">
      <c r="A337" s="41"/>
      <c r="N337" s="51"/>
    </row>
    <row r="338">
      <c r="A338" s="41"/>
      <c r="N338" s="51"/>
    </row>
    <row r="339">
      <c r="A339" s="41"/>
      <c r="N339" s="51"/>
    </row>
    <row r="340">
      <c r="A340" s="41"/>
      <c r="N340" s="51"/>
    </row>
    <row r="341">
      <c r="A341" s="41"/>
      <c r="N341" s="51"/>
    </row>
    <row r="342">
      <c r="A342" s="41"/>
      <c r="N342" s="51"/>
    </row>
    <row r="343">
      <c r="A343" s="41"/>
      <c r="N343" s="51"/>
    </row>
    <row r="344">
      <c r="A344" s="41"/>
      <c r="N344" s="51"/>
    </row>
    <row r="345">
      <c r="A345" s="41"/>
      <c r="N345" s="51"/>
    </row>
    <row r="346">
      <c r="A346" s="41"/>
      <c r="N346" s="51"/>
    </row>
    <row r="347">
      <c r="A347" s="41"/>
      <c r="N347" s="51"/>
    </row>
    <row r="348">
      <c r="A348" s="41"/>
      <c r="N348" s="51"/>
    </row>
    <row r="349">
      <c r="A349" s="41"/>
      <c r="N349" s="51"/>
    </row>
    <row r="350">
      <c r="A350" s="41"/>
      <c r="N350" s="51"/>
    </row>
    <row r="351">
      <c r="A351" s="41"/>
      <c r="N351" s="51"/>
    </row>
    <row r="352">
      <c r="A352" s="41"/>
      <c r="N352" s="51"/>
    </row>
    <row r="353">
      <c r="A353" s="41"/>
      <c r="N353" s="51"/>
    </row>
    <row r="354">
      <c r="A354" s="41"/>
      <c r="N354" s="51"/>
    </row>
    <row r="355">
      <c r="A355" s="41"/>
      <c r="N355" s="51"/>
    </row>
    <row r="356">
      <c r="A356" s="41"/>
      <c r="N356" s="51"/>
    </row>
    <row r="357">
      <c r="A357" s="41"/>
      <c r="N357" s="51"/>
    </row>
    <row r="358">
      <c r="A358" s="41"/>
      <c r="N358" s="51"/>
    </row>
    <row r="359">
      <c r="A359" s="41"/>
      <c r="N359" s="51"/>
    </row>
    <row r="360">
      <c r="A360" s="41"/>
      <c r="N360" s="51"/>
    </row>
    <row r="361">
      <c r="A361" s="41"/>
      <c r="N361" s="51"/>
    </row>
    <row r="362">
      <c r="A362" s="41"/>
      <c r="N362" s="51"/>
    </row>
    <row r="363">
      <c r="A363" s="41"/>
      <c r="N363" s="51"/>
    </row>
    <row r="364">
      <c r="A364" s="41"/>
      <c r="N364" s="51"/>
    </row>
    <row r="365">
      <c r="A365" s="41"/>
      <c r="N365" s="51"/>
    </row>
    <row r="366">
      <c r="A366" s="41"/>
      <c r="N366" s="51"/>
    </row>
    <row r="367">
      <c r="A367" s="41"/>
      <c r="N367" s="51"/>
    </row>
    <row r="368">
      <c r="A368" s="41"/>
      <c r="N368" s="51"/>
    </row>
    <row r="369">
      <c r="A369" s="41"/>
      <c r="N369" s="51"/>
    </row>
    <row r="370">
      <c r="A370" s="41"/>
      <c r="N370" s="51"/>
    </row>
    <row r="371">
      <c r="A371" s="41"/>
      <c r="N371" s="51"/>
    </row>
    <row r="372">
      <c r="A372" s="41"/>
      <c r="N372" s="51"/>
    </row>
    <row r="373">
      <c r="A373" s="41"/>
      <c r="N373" s="51"/>
    </row>
    <row r="374">
      <c r="A374" s="41"/>
      <c r="N374" s="51"/>
    </row>
    <row r="375">
      <c r="A375" s="41"/>
      <c r="N375" s="51"/>
    </row>
    <row r="376">
      <c r="A376" s="41"/>
      <c r="N376" s="51"/>
    </row>
    <row r="377">
      <c r="A377" s="41"/>
      <c r="N377" s="51"/>
    </row>
    <row r="378">
      <c r="A378" s="41"/>
      <c r="N378" s="51"/>
    </row>
    <row r="379">
      <c r="A379" s="41"/>
      <c r="N379" s="51"/>
    </row>
    <row r="380">
      <c r="A380" s="41"/>
      <c r="N380" s="51"/>
    </row>
    <row r="381">
      <c r="A381" s="41"/>
      <c r="N381" s="51"/>
    </row>
    <row r="382">
      <c r="A382" s="41"/>
      <c r="N382" s="51"/>
    </row>
    <row r="383">
      <c r="A383" s="41"/>
      <c r="N383" s="51"/>
    </row>
    <row r="384">
      <c r="A384" s="41"/>
      <c r="N384" s="51"/>
    </row>
    <row r="385">
      <c r="A385" s="41"/>
      <c r="N385" s="51"/>
    </row>
    <row r="386">
      <c r="A386" s="41"/>
      <c r="N386" s="51"/>
    </row>
    <row r="387">
      <c r="A387" s="41"/>
      <c r="N387" s="51"/>
    </row>
    <row r="388">
      <c r="A388" s="41"/>
      <c r="N388" s="51"/>
    </row>
    <row r="389">
      <c r="A389" s="41"/>
      <c r="N389" s="51"/>
    </row>
    <row r="390">
      <c r="A390" s="41"/>
      <c r="N390" s="51"/>
    </row>
    <row r="391">
      <c r="A391" s="41"/>
      <c r="N391" s="51"/>
    </row>
    <row r="392">
      <c r="A392" s="41"/>
      <c r="N392" s="51"/>
    </row>
    <row r="393">
      <c r="A393" s="41"/>
      <c r="N393" s="51"/>
    </row>
    <row r="394">
      <c r="A394" s="41"/>
      <c r="N394" s="51"/>
    </row>
    <row r="395">
      <c r="A395" s="41"/>
      <c r="N395" s="51"/>
    </row>
    <row r="396">
      <c r="A396" s="41"/>
      <c r="N396" s="51"/>
    </row>
    <row r="397">
      <c r="A397" s="41"/>
      <c r="N397" s="51"/>
    </row>
    <row r="398">
      <c r="A398" s="41"/>
      <c r="N398" s="51"/>
    </row>
    <row r="399">
      <c r="A399" s="41"/>
      <c r="N399" s="51"/>
    </row>
    <row r="400">
      <c r="A400" s="41"/>
      <c r="N400" s="51"/>
    </row>
    <row r="401">
      <c r="A401" s="41"/>
      <c r="N401" s="51"/>
    </row>
    <row r="402">
      <c r="A402" s="41"/>
      <c r="N402" s="51"/>
    </row>
    <row r="403">
      <c r="A403" s="41"/>
      <c r="N403" s="51"/>
    </row>
    <row r="404">
      <c r="A404" s="41"/>
      <c r="N404" s="51"/>
    </row>
    <row r="405">
      <c r="A405" s="41"/>
      <c r="N405" s="51"/>
    </row>
    <row r="406">
      <c r="A406" s="41"/>
      <c r="N406" s="51"/>
    </row>
    <row r="407">
      <c r="A407" s="41"/>
      <c r="N407" s="51"/>
    </row>
    <row r="408">
      <c r="A408" s="41"/>
      <c r="N408" s="51"/>
    </row>
    <row r="409">
      <c r="A409" s="41"/>
      <c r="N409" s="51"/>
    </row>
    <row r="410">
      <c r="A410" s="41"/>
      <c r="N410" s="51"/>
    </row>
    <row r="411">
      <c r="A411" s="41"/>
      <c r="N411" s="51"/>
    </row>
    <row r="412">
      <c r="A412" s="41"/>
      <c r="N412" s="51"/>
    </row>
    <row r="413">
      <c r="A413" s="41"/>
      <c r="N413" s="51"/>
    </row>
    <row r="414">
      <c r="A414" s="41"/>
      <c r="N414" s="51"/>
    </row>
    <row r="415">
      <c r="A415" s="41"/>
      <c r="N415" s="51"/>
    </row>
    <row r="416">
      <c r="A416" s="41"/>
      <c r="N416" s="51"/>
    </row>
    <row r="417">
      <c r="A417" s="41"/>
      <c r="N417" s="51"/>
    </row>
    <row r="418">
      <c r="A418" s="41"/>
      <c r="N418" s="51"/>
    </row>
    <row r="419">
      <c r="A419" s="41"/>
      <c r="N419" s="51"/>
    </row>
    <row r="420">
      <c r="A420" s="41"/>
      <c r="N420" s="51"/>
    </row>
    <row r="421">
      <c r="A421" s="41"/>
      <c r="N421" s="51"/>
    </row>
    <row r="422">
      <c r="A422" s="41"/>
      <c r="N422" s="51"/>
    </row>
    <row r="423">
      <c r="A423" s="41"/>
      <c r="N423" s="51"/>
    </row>
    <row r="424">
      <c r="A424" s="41"/>
      <c r="N424" s="51"/>
    </row>
    <row r="425">
      <c r="A425" s="41"/>
      <c r="N425" s="51"/>
    </row>
    <row r="426">
      <c r="A426" s="41"/>
      <c r="N426" s="51"/>
    </row>
    <row r="427">
      <c r="A427" s="41"/>
      <c r="N427" s="51"/>
    </row>
    <row r="428">
      <c r="A428" s="41"/>
      <c r="N428" s="51"/>
    </row>
    <row r="429">
      <c r="A429" s="41"/>
      <c r="N429" s="51"/>
    </row>
    <row r="430">
      <c r="A430" s="41"/>
      <c r="N430" s="51"/>
    </row>
    <row r="431">
      <c r="A431" s="41"/>
      <c r="N431" s="51"/>
    </row>
    <row r="432">
      <c r="A432" s="41"/>
      <c r="N432" s="51"/>
    </row>
    <row r="433">
      <c r="A433" s="41"/>
      <c r="N433" s="51"/>
    </row>
    <row r="434">
      <c r="A434" s="41"/>
      <c r="N434" s="51"/>
    </row>
    <row r="435">
      <c r="A435" s="41"/>
      <c r="N435" s="51"/>
    </row>
    <row r="436">
      <c r="A436" s="41"/>
      <c r="N436" s="51"/>
    </row>
    <row r="437">
      <c r="A437" s="41"/>
      <c r="N437" s="51"/>
    </row>
    <row r="438">
      <c r="A438" s="41"/>
      <c r="N438" s="51"/>
    </row>
    <row r="439">
      <c r="A439" s="41"/>
      <c r="N439" s="51"/>
    </row>
    <row r="440">
      <c r="A440" s="41"/>
      <c r="N440" s="51"/>
    </row>
    <row r="441">
      <c r="A441" s="41"/>
      <c r="N441" s="51"/>
    </row>
    <row r="442">
      <c r="A442" s="41"/>
      <c r="N442" s="51"/>
    </row>
    <row r="443">
      <c r="A443" s="41"/>
      <c r="N443" s="51"/>
    </row>
    <row r="444">
      <c r="A444" s="41"/>
      <c r="N444" s="51"/>
    </row>
    <row r="445">
      <c r="A445" s="41"/>
      <c r="N445" s="51"/>
    </row>
    <row r="446">
      <c r="A446" s="41"/>
      <c r="N446" s="51"/>
    </row>
    <row r="447">
      <c r="A447" s="41"/>
      <c r="N447" s="51"/>
    </row>
    <row r="448">
      <c r="A448" s="41"/>
      <c r="N448" s="51"/>
    </row>
    <row r="449">
      <c r="A449" s="41"/>
      <c r="N449" s="51"/>
    </row>
    <row r="450">
      <c r="A450" s="41"/>
      <c r="N450" s="51"/>
    </row>
    <row r="451">
      <c r="A451" s="41"/>
      <c r="N451" s="51"/>
    </row>
    <row r="452">
      <c r="A452" s="41"/>
      <c r="N452" s="51"/>
    </row>
    <row r="453">
      <c r="A453" s="41"/>
      <c r="N453" s="51"/>
    </row>
    <row r="454">
      <c r="A454" s="41"/>
      <c r="N454" s="51"/>
    </row>
    <row r="455">
      <c r="A455" s="41"/>
      <c r="N455" s="51"/>
    </row>
    <row r="456">
      <c r="A456" s="41"/>
      <c r="N456" s="51"/>
    </row>
    <row r="457">
      <c r="A457" s="41"/>
      <c r="N457" s="51"/>
    </row>
    <row r="458">
      <c r="A458" s="41"/>
      <c r="N458" s="51"/>
    </row>
    <row r="459">
      <c r="A459" s="41"/>
      <c r="N459" s="51"/>
    </row>
    <row r="460">
      <c r="A460" s="41"/>
      <c r="N460" s="51"/>
    </row>
    <row r="461">
      <c r="A461" s="41"/>
      <c r="N461" s="51"/>
    </row>
    <row r="462">
      <c r="A462" s="41"/>
      <c r="N462" s="51"/>
    </row>
    <row r="463">
      <c r="A463" s="41"/>
      <c r="N463" s="51"/>
    </row>
    <row r="464">
      <c r="A464" s="41"/>
      <c r="N464" s="51"/>
    </row>
    <row r="465">
      <c r="A465" s="41"/>
      <c r="N465" s="51"/>
    </row>
    <row r="466">
      <c r="A466" s="41"/>
      <c r="N466" s="51"/>
    </row>
    <row r="467">
      <c r="A467" s="41"/>
      <c r="N467" s="51"/>
    </row>
    <row r="468">
      <c r="A468" s="41"/>
      <c r="N468" s="51"/>
    </row>
    <row r="469">
      <c r="A469" s="41"/>
      <c r="N469" s="51"/>
    </row>
    <row r="470">
      <c r="A470" s="41"/>
      <c r="N470" s="51"/>
    </row>
    <row r="471">
      <c r="A471" s="41"/>
      <c r="N471" s="51"/>
    </row>
    <row r="472">
      <c r="A472" s="41"/>
      <c r="N472" s="51"/>
    </row>
    <row r="473">
      <c r="A473" s="41"/>
      <c r="N473" s="51"/>
    </row>
    <row r="474">
      <c r="A474" s="41"/>
      <c r="N474" s="51"/>
    </row>
    <row r="475">
      <c r="A475" s="41"/>
      <c r="N475" s="51"/>
    </row>
    <row r="476">
      <c r="A476" s="41"/>
      <c r="N476" s="51"/>
    </row>
    <row r="477">
      <c r="A477" s="41"/>
      <c r="N477" s="51"/>
    </row>
    <row r="478">
      <c r="A478" s="41"/>
      <c r="N478" s="51"/>
    </row>
    <row r="479">
      <c r="A479" s="41"/>
      <c r="N479" s="51"/>
    </row>
    <row r="480">
      <c r="A480" s="41"/>
      <c r="N480" s="51"/>
    </row>
    <row r="481">
      <c r="A481" s="41"/>
      <c r="N481" s="51"/>
    </row>
    <row r="482">
      <c r="A482" s="41"/>
      <c r="N482" s="51"/>
    </row>
    <row r="483">
      <c r="A483" s="41"/>
      <c r="N483" s="51"/>
    </row>
    <row r="484">
      <c r="A484" s="41"/>
      <c r="N484" s="51"/>
    </row>
    <row r="485">
      <c r="A485" s="41"/>
      <c r="N485" s="51"/>
    </row>
    <row r="486">
      <c r="A486" s="41"/>
      <c r="N486" s="51"/>
    </row>
    <row r="487">
      <c r="A487" s="41"/>
      <c r="N487" s="51"/>
    </row>
    <row r="488">
      <c r="A488" s="41"/>
      <c r="N488" s="51"/>
    </row>
    <row r="489">
      <c r="A489" s="41"/>
      <c r="N489" s="51"/>
    </row>
    <row r="490">
      <c r="A490" s="41"/>
      <c r="N490" s="51"/>
    </row>
    <row r="491">
      <c r="A491" s="41"/>
      <c r="N491" s="51"/>
    </row>
    <row r="492">
      <c r="A492" s="41"/>
      <c r="N492" s="51"/>
    </row>
    <row r="493">
      <c r="A493" s="41"/>
      <c r="N493" s="51"/>
    </row>
    <row r="494">
      <c r="A494" s="41"/>
      <c r="N494" s="51"/>
    </row>
    <row r="495">
      <c r="A495" s="41"/>
      <c r="N495" s="51"/>
    </row>
    <row r="496">
      <c r="A496" s="41"/>
      <c r="N496" s="51"/>
    </row>
    <row r="497">
      <c r="A497" s="41"/>
      <c r="N497" s="51"/>
    </row>
    <row r="498">
      <c r="A498" s="41"/>
      <c r="N498" s="51"/>
    </row>
    <row r="499">
      <c r="A499" s="41"/>
      <c r="N499" s="51"/>
    </row>
    <row r="500">
      <c r="A500" s="41"/>
      <c r="N500" s="51"/>
    </row>
    <row r="501">
      <c r="A501" s="41"/>
      <c r="N501" s="51"/>
    </row>
    <row r="502">
      <c r="A502" s="41"/>
      <c r="N502" s="51"/>
    </row>
    <row r="503">
      <c r="A503" s="41"/>
      <c r="N503" s="51"/>
    </row>
    <row r="504">
      <c r="A504" s="41"/>
      <c r="N504" s="51"/>
    </row>
    <row r="505">
      <c r="A505" s="41"/>
      <c r="N505" s="51"/>
    </row>
    <row r="506">
      <c r="A506" s="41"/>
      <c r="N506" s="51"/>
    </row>
    <row r="507">
      <c r="A507" s="41"/>
      <c r="N507" s="51"/>
    </row>
    <row r="508">
      <c r="A508" s="41"/>
      <c r="N508" s="51"/>
    </row>
    <row r="509">
      <c r="A509" s="41"/>
      <c r="N509" s="51"/>
    </row>
    <row r="510">
      <c r="A510" s="41"/>
      <c r="N510" s="51"/>
    </row>
    <row r="511">
      <c r="A511" s="41"/>
      <c r="N511" s="51"/>
    </row>
    <row r="512">
      <c r="A512" s="41"/>
      <c r="N512" s="51"/>
    </row>
    <row r="513">
      <c r="A513" s="41"/>
      <c r="N513" s="51"/>
    </row>
    <row r="514">
      <c r="A514" s="41"/>
      <c r="N514" s="51"/>
    </row>
    <row r="515">
      <c r="A515" s="41"/>
      <c r="N515" s="51"/>
    </row>
    <row r="516">
      <c r="A516" s="41"/>
      <c r="N516" s="51"/>
    </row>
    <row r="517">
      <c r="A517" s="41"/>
      <c r="N517" s="51"/>
    </row>
    <row r="518">
      <c r="A518" s="41"/>
      <c r="N518" s="51"/>
    </row>
    <row r="519">
      <c r="A519" s="41"/>
      <c r="N519" s="51"/>
    </row>
    <row r="520">
      <c r="A520" s="41"/>
      <c r="N520" s="51"/>
    </row>
    <row r="521">
      <c r="A521" s="41"/>
      <c r="N521" s="51"/>
    </row>
    <row r="522">
      <c r="A522" s="41"/>
      <c r="N522" s="51"/>
    </row>
    <row r="523">
      <c r="A523" s="41"/>
      <c r="N523" s="51"/>
    </row>
    <row r="524">
      <c r="A524" s="41"/>
      <c r="N524" s="51"/>
    </row>
    <row r="525">
      <c r="A525" s="41"/>
      <c r="N525" s="51"/>
    </row>
    <row r="526">
      <c r="A526" s="41"/>
      <c r="N526" s="51"/>
    </row>
    <row r="527">
      <c r="A527" s="41"/>
      <c r="N527" s="51"/>
    </row>
    <row r="528">
      <c r="A528" s="41"/>
      <c r="N528" s="51"/>
    </row>
    <row r="529">
      <c r="A529" s="41"/>
      <c r="N529" s="51"/>
    </row>
    <row r="530">
      <c r="A530" s="41"/>
      <c r="N530" s="51"/>
    </row>
    <row r="531">
      <c r="A531" s="41"/>
      <c r="N531" s="51"/>
    </row>
    <row r="532">
      <c r="A532" s="41"/>
      <c r="N532" s="51"/>
    </row>
    <row r="533">
      <c r="A533" s="41"/>
      <c r="N533" s="51"/>
    </row>
    <row r="534">
      <c r="A534" s="41"/>
      <c r="N534" s="51"/>
    </row>
    <row r="535">
      <c r="A535" s="41"/>
      <c r="N535" s="51"/>
    </row>
    <row r="536">
      <c r="A536" s="41"/>
      <c r="N536" s="51"/>
    </row>
    <row r="537">
      <c r="A537" s="41"/>
      <c r="N537" s="51"/>
    </row>
    <row r="538">
      <c r="A538" s="41"/>
      <c r="N538" s="51"/>
    </row>
    <row r="539">
      <c r="A539" s="41"/>
      <c r="N539" s="51"/>
    </row>
    <row r="540">
      <c r="A540" s="41"/>
      <c r="N540" s="51"/>
    </row>
    <row r="541">
      <c r="A541" s="41"/>
      <c r="N541" s="51"/>
    </row>
    <row r="542">
      <c r="A542" s="41"/>
      <c r="N542" s="51"/>
    </row>
    <row r="543">
      <c r="A543" s="41"/>
      <c r="N543" s="51"/>
    </row>
    <row r="544">
      <c r="A544" s="41"/>
      <c r="N544" s="51"/>
    </row>
    <row r="545">
      <c r="A545" s="41"/>
      <c r="N545" s="51"/>
    </row>
    <row r="546">
      <c r="A546" s="41"/>
      <c r="N546" s="51"/>
    </row>
    <row r="547">
      <c r="A547" s="41"/>
      <c r="N547" s="51"/>
    </row>
    <row r="548">
      <c r="A548" s="41"/>
      <c r="N548" s="51"/>
    </row>
    <row r="549">
      <c r="A549" s="41"/>
      <c r="N549" s="51"/>
    </row>
    <row r="550">
      <c r="A550" s="41"/>
      <c r="N550" s="51"/>
    </row>
    <row r="551">
      <c r="A551" s="41"/>
      <c r="N551" s="51"/>
    </row>
    <row r="552">
      <c r="A552" s="41"/>
      <c r="N552" s="51"/>
    </row>
    <row r="553">
      <c r="A553" s="41"/>
      <c r="N553" s="51"/>
    </row>
    <row r="554">
      <c r="A554" s="41"/>
      <c r="N554" s="5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25"/>
  </cols>
  <sheetData>
    <row r="1">
      <c r="A1" s="69"/>
      <c r="B1" s="69" t="s">
        <v>31</v>
      </c>
      <c r="C1" s="70"/>
      <c r="D1" s="70"/>
      <c r="E1" s="70"/>
      <c r="F1" s="34" t="s">
        <v>32</v>
      </c>
    </row>
    <row r="3">
      <c r="A3" s="71"/>
      <c r="B3" s="71" t="s">
        <v>33</v>
      </c>
      <c r="C3" s="72">
        <f>TODAY()-6</f>
        <v>46194</v>
      </c>
      <c r="D3" s="71" t="s">
        <v>34</v>
      </c>
      <c r="E3" s="73">
        <f>TODAY()</f>
        <v>46200</v>
      </c>
    </row>
    <row r="4">
      <c r="A4" s="34" t="s">
        <v>35</v>
      </c>
      <c r="B4" s="33" t="str">
        <f>IFERROR(__xludf.DUMMYFUNCTION("GOOGLEFINANCE(F1,""all"",C3,E3)"),"Date")</f>
        <v>Date</v>
      </c>
      <c r="C4" s="33" t="str">
        <f>IFERROR(__xludf.DUMMYFUNCTION("""COMPUTED_VALUE"""),"Open")</f>
        <v>Open</v>
      </c>
      <c r="D4" s="33" t="str">
        <f>IFERROR(__xludf.DUMMYFUNCTION("""COMPUTED_VALUE"""),"High")</f>
        <v>High</v>
      </c>
      <c r="E4" s="33" t="str">
        <f>IFERROR(__xludf.DUMMYFUNCTION("""COMPUTED_VALUE"""),"Low")</f>
        <v>Low</v>
      </c>
      <c r="F4" s="33" t="str">
        <f>IFERROR(__xludf.DUMMYFUNCTION("""COMPUTED_VALUE"""),"Close")</f>
        <v>Close</v>
      </c>
      <c r="G4" s="33" t="str">
        <f>IFERROR(__xludf.DUMMYFUNCTION("""COMPUTED_VALUE"""),"Volume")</f>
        <v>Volume</v>
      </c>
    </row>
    <row r="5">
      <c r="A5" s="34" t="s">
        <v>19</v>
      </c>
      <c r="B5" s="36">
        <f>IFERROR(__xludf.DUMMYFUNCTION("""COMPUTED_VALUE"""),46195.66666666667)</f>
        <v>46195.66667</v>
      </c>
      <c r="C5" s="19">
        <f>IFERROR(__xludf.DUMMYFUNCTION("""COMPUTED_VALUE"""),158.92)</f>
        <v>158.92</v>
      </c>
      <c r="D5" s="19">
        <f>IFERROR(__xludf.DUMMYFUNCTION("""COMPUTED_VALUE"""),159.51)</f>
        <v>159.51</v>
      </c>
      <c r="E5" s="19">
        <f>IFERROR(__xludf.DUMMYFUNCTION("""COMPUTED_VALUE"""),158.57)</f>
        <v>158.57</v>
      </c>
      <c r="F5" s="19">
        <f>IFERROR(__xludf.DUMMYFUNCTION("""COMPUTED_VALUE"""),159.51)</f>
        <v>159.51</v>
      </c>
      <c r="G5" s="33">
        <f>IFERROR(__xludf.DUMMYFUNCTION("""COMPUTED_VALUE"""),181378.0)</f>
        <v>181378</v>
      </c>
    </row>
    <row r="6">
      <c r="A6" s="34" t="s">
        <v>20</v>
      </c>
      <c r="B6" s="36">
        <f>IFERROR(__xludf.DUMMYFUNCTION("""COMPUTED_VALUE"""),46196.66666666667)</f>
        <v>46196.66667</v>
      </c>
      <c r="C6" s="19">
        <f>IFERROR(__xludf.DUMMYFUNCTION("""COMPUTED_VALUE"""),159.6)</f>
        <v>159.6</v>
      </c>
      <c r="D6" s="19">
        <f>IFERROR(__xludf.DUMMYFUNCTION("""COMPUTED_VALUE"""),159.83)</f>
        <v>159.83</v>
      </c>
      <c r="E6" s="19">
        <f>IFERROR(__xludf.DUMMYFUNCTION("""COMPUTED_VALUE"""),158.64)</f>
        <v>158.64</v>
      </c>
      <c r="F6" s="19">
        <f>IFERROR(__xludf.DUMMYFUNCTION("""COMPUTED_VALUE"""),158.64)</f>
        <v>158.64</v>
      </c>
      <c r="G6" s="33">
        <f>IFERROR(__xludf.DUMMYFUNCTION("""COMPUTED_VALUE"""),125898.0)</f>
        <v>125898</v>
      </c>
    </row>
    <row r="7">
      <c r="A7" s="34" t="s">
        <v>21</v>
      </c>
      <c r="B7" s="36">
        <f>IFERROR(__xludf.DUMMYFUNCTION("""COMPUTED_VALUE"""),46197.66666666667)</f>
        <v>46197.66667</v>
      </c>
      <c r="C7" s="19">
        <f>IFERROR(__xludf.DUMMYFUNCTION("""COMPUTED_VALUE"""),159.31)</f>
        <v>159.31</v>
      </c>
      <c r="D7" s="19">
        <f>IFERROR(__xludf.DUMMYFUNCTION("""COMPUTED_VALUE"""),159.7)</f>
        <v>159.7</v>
      </c>
      <c r="E7" s="19">
        <f>IFERROR(__xludf.DUMMYFUNCTION("""COMPUTED_VALUE"""),159.23)</f>
        <v>159.23</v>
      </c>
      <c r="F7" s="19">
        <f>IFERROR(__xludf.DUMMYFUNCTION("""COMPUTED_VALUE"""),159.43)</f>
        <v>159.43</v>
      </c>
      <c r="G7" s="33">
        <f>IFERROR(__xludf.DUMMYFUNCTION("""COMPUTED_VALUE"""),334018.0)</f>
        <v>334018</v>
      </c>
    </row>
    <row r="8">
      <c r="A8" s="34" t="s">
        <v>22</v>
      </c>
      <c r="B8" s="36">
        <f>IFERROR(__xludf.DUMMYFUNCTION("""COMPUTED_VALUE"""),46198.66666666667)</f>
        <v>46198.66667</v>
      </c>
      <c r="C8" s="19">
        <f>IFERROR(__xludf.DUMMYFUNCTION("""COMPUTED_VALUE"""),160.2)</f>
        <v>160.2</v>
      </c>
      <c r="D8" s="19">
        <f>IFERROR(__xludf.DUMMYFUNCTION("""COMPUTED_VALUE"""),160.5)</f>
        <v>160.5</v>
      </c>
      <c r="E8" s="19">
        <f>IFERROR(__xludf.DUMMYFUNCTION("""COMPUTED_VALUE"""),159.87)</f>
        <v>159.87</v>
      </c>
      <c r="F8" s="19">
        <f>IFERROR(__xludf.DUMMYFUNCTION("""COMPUTED_VALUE"""),160.5)</f>
        <v>160.5</v>
      </c>
      <c r="G8" s="33">
        <f>IFERROR(__xludf.DUMMYFUNCTION("""COMPUTED_VALUE"""),181056.0)</f>
        <v>181056</v>
      </c>
    </row>
    <row r="9">
      <c r="A9" s="34" t="s">
        <v>23</v>
      </c>
      <c r="B9" s="36">
        <f>IFERROR(__xludf.DUMMYFUNCTION("""COMPUTED_VALUE"""),46199.66666666667)</f>
        <v>46199.66667</v>
      </c>
      <c r="C9" s="19">
        <f>IFERROR(__xludf.DUMMYFUNCTION("""COMPUTED_VALUE"""),159.5)</f>
        <v>159.5</v>
      </c>
      <c r="D9" s="19">
        <f>IFERROR(__xludf.DUMMYFUNCTION("""COMPUTED_VALUE"""),159.8)</f>
        <v>159.8</v>
      </c>
      <c r="E9" s="19">
        <f>IFERROR(__xludf.DUMMYFUNCTION("""COMPUTED_VALUE"""),158.42)</f>
        <v>158.42</v>
      </c>
      <c r="F9" s="19">
        <f>IFERROR(__xludf.DUMMYFUNCTION("""COMPUTED_VALUE"""),158.64)</f>
        <v>158.64</v>
      </c>
      <c r="G9" s="33">
        <f>IFERROR(__xludf.DUMMYFUNCTION("""COMPUTED_VALUE"""),169906.0)</f>
        <v>169906</v>
      </c>
    </row>
    <row r="10">
      <c r="A10" s="36"/>
      <c r="B10" s="36"/>
      <c r="C10" s="19"/>
      <c r="D10" s="19"/>
      <c r="E10" s="19"/>
      <c r="F10" s="19"/>
    </row>
    <row r="11">
      <c r="A11" s="36"/>
      <c r="B11" s="36"/>
      <c r="C11" s="19"/>
      <c r="D11" s="19"/>
      <c r="E11" s="19"/>
      <c r="F11" s="19"/>
    </row>
    <row r="12">
      <c r="A12" s="36"/>
      <c r="B12" s="36"/>
      <c r="C12" s="19"/>
      <c r="D12" s="19"/>
      <c r="E12" s="19"/>
      <c r="F12" s="19"/>
    </row>
    <row r="13">
      <c r="A13" s="36"/>
      <c r="B13" s="36"/>
      <c r="C13" s="19"/>
      <c r="D13" s="19"/>
      <c r="E13" s="19"/>
      <c r="F13" s="19"/>
    </row>
    <row r="14">
      <c r="A14" s="36"/>
      <c r="B14" s="36"/>
      <c r="C14" s="36"/>
      <c r="D14" s="36"/>
      <c r="E14" s="36"/>
      <c r="F14" s="19"/>
    </row>
    <row r="15">
      <c r="A15" s="36"/>
      <c r="B15" s="36"/>
      <c r="C15" s="36"/>
      <c r="D15" s="36"/>
      <c r="E15" s="36"/>
      <c r="F15" s="19"/>
    </row>
    <row r="16">
      <c r="A16" s="36"/>
      <c r="B16" s="36"/>
      <c r="C16" s="36"/>
      <c r="D16" s="36"/>
      <c r="E16" s="36"/>
      <c r="F16" s="19"/>
    </row>
    <row r="17">
      <c r="A17" s="36"/>
      <c r="B17" s="36"/>
      <c r="C17" s="36"/>
      <c r="D17" s="36"/>
      <c r="E17" s="36"/>
      <c r="F17" s="19"/>
    </row>
    <row r="18">
      <c r="A18" s="36"/>
      <c r="B18" s="36"/>
      <c r="C18" s="36"/>
      <c r="D18" s="36"/>
      <c r="E18" s="36"/>
      <c r="F18" s="19"/>
    </row>
    <row r="19">
      <c r="A19" s="36"/>
      <c r="B19" s="36"/>
      <c r="C19" s="36"/>
      <c r="D19" s="36"/>
      <c r="E19" s="36"/>
      <c r="F19" s="19"/>
    </row>
    <row r="20">
      <c r="A20" s="36"/>
      <c r="B20" s="36"/>
      <c r="C20" s="36"/>
      <c r="D20" s="36"/>
      <c r="E20" s="36"/>
      <c r="F20" s="19"/>
    </row>
    <row r="21">
      <c r="A21" s="36"/>
      <c r="B21" s="36"/>
      <c r="C21" s="36"/>
      <c r="D21" s="36"/>
      <c r="E21" s="36"/>
      <c r="F21" s="19"/>
    </row>
    <row r="22">
      <c r="A22" s="36"/>
      <c r="B22" s="36"/>
      <c r="C22" s="36"/>
      <c r="D22" s="36"/>
      <c r="E22" s="36"/>
      <c r="F22" s="19"/>
    </row>
    <row r="23">
      <c r="A23" s="36"/>
      <c r="B23" s="36"/>
      <c r="C23" s="36"/>
      <c r="D23" s="36"/>
      <c r="E23" s="36"/>
      <c r="F23" s="19"/>
    </row>
    <row r="24">
      <c r="A24" s="36"/>
      <c r="B24" s="36"/>
      <c r="C24" s="36"/>
      <c r="D24" s="36"/>
      <c r="E24" s="36"/>
      <c r="F24" s="19"/>
    </row>
    <row r="25">
      <c r="A25" s="36"/>
      <c r="B25" s="36"/>
      <c r="C25" s="36"/>
      <c r="D25" s="36"/>
      <c r="E25" s="36"/>
      <c r="F25" s="19"/>
    </row>
    <row r="26">
      <c r="F26" s="19"/>
    </row>
    <row r="27">
      <c r="F27" s="19"/>
    </row>
    <row r="28">
      <c r="F28" s="19"/>
    </row>
    <row r="29">
      <c r="F29" s="19"/>
    </row>
    <row r="30">
      <c r="F30" s="19"/>
    </row>
    <row r="31">
      <c r="F31" s="19"/>
    </row>
    <row r="32">
      <c r="F32" s="19"/>
    </row>
    <row r="33">
      <c r="F33" s="19"/>
    </row>
    <row r="34">
      <c r="F34" s="19"/>
    </row>
    <row r="35">
      <c r="F35" s="19"/>
    </row>
    <row r="36">
      <c r="F36" s="19"/>
    </row>
    <row r="37">
      <c r="F37" s="19"/>
    </row>
    <row r="38">
      <c r="F38" s="19"/>
    </row>
    <row r="39">
      <c r="F39" s="19"/>
    </row>
    <row r="40">
      <c r="F4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4.25"/>
    <col customWidth="1" min="6" max="6" width="16.75"/>
  </cols>
  <sheetData>
    <row r="2">
      <c r="A2" s="34" t="s">
        <v>36</v>
      </c>
      <c r="B2" s="34" t="s">
        <v>37</v>
      </c>
      <c r="C2" s="34" t="s">
        <v>38</v>
      </c>
      <c r="D2" s="34" t="s">
        <v>39</v>
      </c>
      <c r="E2" s="34" t="s">
        <v>40</v>
      </c>
      <c r="F2" s="34" t="s">
        <v>41</v>
      </c>
    </row>
    <row r="3">
      <c r="A3" s="60">
        <v>46198.0</v>
      </c>
      <c r="B3" s="20">
        <v>2304.28</v>
      </c>
      <c r="C3" s="34">
        <v>1.0</v>
      </c>
      <c r="D3" s="5">
        <v>156.3</v>
      </c>
      <c r="E3" s="5">
        <v>156.3</v>
      </c>
      <c r="F3" s="34">
        <v>15.0</v>
      </c>
    </row>
  </sheetData>
  <drawing r:id="rId1"/>
</worksheet>
</file>