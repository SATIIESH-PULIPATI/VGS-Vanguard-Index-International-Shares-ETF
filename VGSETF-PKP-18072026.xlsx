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 activeTab="2"/>
  </bookViews>
  <sheets>
    <sheet name="VGS PKP" sheetId="1" r:id="rId1"/>
    <sheet name="VGS History Data" sheetId="2" r:id="rId2"/>
    <sheet name="Total Investment" sheetId="3" r:id="rId3"/>
  </sheets>
  <calcPr calcId="125725"/>
</workbook>
</file>

<file path=xl/calcChain.xml><?xml version="1.0" encoding="utf-8"?>
<calcChain xmlns="http://schemas.openxmlformats.org/spreadsheetml/2006/main">
  <c r="E3" i="2"/>
  <c r="C3"/>
  <c r="M207" i="1"/>
  <c r="N207" s="1"/>
  <c r="N206"/>
  <c r="M206"/>
  <c r="M205"/>
  <c r="N205" s="1"/>
  <c r="N204"/>
  <c r="M204"/>
  <c r="M203"/>
  <c r="N203" s="1"/>
  <c r="N201"/>
  <c r="M201"/>
  <c r="L201"/>
  <c r="M200"/>
  <c r="N200" s="1"/>
  <c r="N199"/>
  <c r="M199"/>
  <c r="M198"/>
  <c r="N198" s="1"/>
  <c r="N197"/>
  <c r="M197"/>
  <c r="M195"/>
  <c r="N195" s="1"/>
  <c r="N194"/>
  <c r="M194"/>
  <c r="M193"/>
  <c r="N193" s="1"/>
  <c r="N192"/>
  <c r="M192"/>
  <c r="M191"/>
  <c r="N191" s="1"/>
  <c r="N189"/>
  <c r="M189"/>
  <c r="M188"/>
  <c r="N188" s="1"/>
  <c r="N187"/>
  <c r="M187"/>
  <c r="M186"/>
  <c r="N186" s="1"/>
  <c r="N185"/>
  <c r="M185"/>
  <c r="M183"/>
  <c r="N183" s="1"/>
  <c r="L183"/>
  <c r="M182"/>
  <c r="N182" s="1"/>
  <c r="N181"/>
  <c r="M181"/>
  <c r="M180"/>
  <c r="N180" s="1"/>
  <c r="N179"/>
  <c r="M179"/>
  <c r="M176"/>
  <c r="N176" s="1"/>
  <c r="N175"/>
  <c r="M175"/>
  <c r="M174"/>
  <c r="N174" s="1"/>
  <c r="N173"/>
  <c r="M173"/>
  <c r="M170"/>
  <c r="N170" s="1"/>
  <c r="N169"/>
  <c r="M169"/>
  <c r="M168"/>
  <c r="N168" s="1"/>
  <c r="K167"/>
  <c r="G167"/>
  <c r="M166"/>
  <c r="N166" s="1"/>
  <c r="C167" s="1"/>
  <c r="N164"/>
  <c r="M164"/>
  <c r="M163"/>
  <c r="N163" s="1"/>
  <c r="N162"/>
  <c r="M162"/>
  <c r="M161"/>
  <c r="N161" s="1"/>
  <c r="N160"/>
  <c r="M160"/>
  <c r="M155"/>
  <c r="N155" s="1"/>
  <c r="L155"/>
  <c r="L156" s="1"/>
  <c r="L157" s="1"/>
  <c r="L158" s="1"/>
  <c r="N154"/>
  <c r="M154"/>
  <c r="M153"/>
  <c r="N153" s="1"/>
  <c r="N152"/>
  <c r="M152"/>
  <c r="M151"/>
  <c r="N151" s="1"/>
  <c r="N149"/>
  <c r="M149"/>
  <c r="M148"/>
  <c r="N148" s="1"/>
  <c r="N147"/>
  <c r="M147"/>
  <c r="M146"/>
  <c r="N146" s="1"/>
  <c r="L143"/>
  <c r="K143"/>
  <c r="M143" s="1"/>
  <c r="N143" s="1"/>
  <c r="N142"/>
  <c r="M142"/>
  <c r="M141"/>
  <c r="N141" s="1"/>
  <c r="N140"/>
  <c r="M140"/>
  <c r="M139"/>
  <c r="N139" s="1"/>
  <c r="N137"/>
  <c r="M137"/>
  <c r="M136"/>
  <c r="N136" s="1"/>
  <c r="N135"/>
  <c r="M135"/>
  <c r="M134"/>
  <c r="N134" s="1"/>
  <c r="N133"/>
  <c r="M133"/>
  <c r="M131"/>
  <c r="N131" s="1"/>
  <c r="N129"/>
  <c r="M129"/>
  <c r="M128"/>
  <c r="N128" s="1"/>
  <c r="N127"/>
  <c r="M127"/>
  <c r="L127"/>
  <c r="N125"/>
  <c r="M125"/>
  <c r="L125"/>
  <c r="M124"/>
  <c r="N124" s="1"/>
  <c r="N123"/>
  <c r="M123"/>
  <c r="M122"/>
  <c r="N122" s="1"/>
  <c r="N121"/>
  <c r="M121"/>
  <c r="M119"/>
  <c r="N119" s="1"/>
  <c r="N118"/>
  <c r="M118"/>
  <c r="M117"/>
  <c r="N117" s="1"/>
  <c r="N116"/>
  <c r="M116"/>
  <c r="M115"/>
  <c r="N115" s="1"/>
  <c r="M111"/>
  <c r="N111" s="1"/>
  <c r="L111"/>
  <c r="L113" s="1"/>
  <c r="L115" s="1"/>
  <c r="M110"/>
  <c r="N110" s="1"/>
  <c r="N109"/>
  <c r="M109"/>
  <c r="M108"/>
  <c r="N108" s="1"/>
  <c r="N107"/>
  <c r="M107"/>
  <c r="F106"/>
  <c r="M105"/>
  <c r="N105" s="1"/>
  <c r="N104"/>
  <c r="M104"/>
  <c r="M103"/>
  <c r="N103" s="1"/>
  <c r="N102"/>
  <c r="M102"/>
  <c r="M101"/>
  <c r="N101" s="1"/>
  <c r="F100"/>
  <c r="M99"/>
  <c r="N99" s="1"/>
  <c r="N98"/>
  <c r="M98"/>
  <c r="M97"/>
  <c r="N97" s="1"/>
  <c r="N96"/>
  <c r="M96"/>
  <c r="M95"/>
  <c r="N95" s="1"/>
  <c r="F94"/>
  <c r="N93"/>
  <c r="M93"/>
  <c r="M92"/>
  <c r="N92" s="1"/>
  <c r="N91"/>
  <c r="M91"/>
  <c r="M90"/>
  <c r="N90" s="1"/>
  <c r="N89"/>
  <c r="M89"/>
  <c r="F88"/>
  <c r="N87"/>
  <c r="M87"/>
  <c r="M86"/>
  <c r="N86" s="1"/>
  <c r="N85"/>
  <c r="M85"/>
  <c r="M84"/>
  <c r="N84" s="1"/>
  <c r="N83"/>
  <c r="M83"/>
  <c r="F82"/>
  <c r="M81"/>
  <c r="N81" s="1"/>
  <c r="N80"/>
  <c r="M80"/>
  <c r="M79"/>
  <c r="N79" s="1"/>
  <c r="N78"/>
  <c r="M78"/>
  <c r="M77"/>
  <c r="N77" s="1"/>
  <c r="N75"/>
  <c r="M75"/>
  <c r="M74"/>
  <c r="N74" s="1"/>
  <c r="N73"/>
  <c r="M73"/>
  <c r="M72"/>
  <c r="N72" s="1"/>
  <c r="N71"/>
  <c r="M71"/>
  <c r="M69"/>
  <c r="N69" s="1"/>
  <c r="N68"/>
  <c r="M68"/>
  <c r="M67"/>
  <c r="N67" s="1"/>
  <c r="N66"/>
  <c r="M66"/>
  <c r="M63"/>
  <c r="N63" s="1"/>
  <c r="N62"/>
  <c r="M62"/>
  <c r="M61"/>
  <c r="N61" s="1"/>
  <c r="N60"/>
  <c r="M60"/>
  <c r="M59"/>
  <c r="N59" s="1"/>
  <c r="N58"/>
  <c r="M58"/>
  <c r="M57"/>
  <c r="N57" s="1"/>
  <c r="N56"/>
  <c r="M56"/>
  <c r="M55"/>
  <c r="N55" s="1"/>
  <c r="N54"/>
  <c r="M54"/>
  <c r="M53"/>
  <c r="N53" s="1"/>
  <c r="N52"/>
  <c r="M52"/>
  <c r="M51"/>
  <c r="N51" s="1"/>
  <c r="N50"/>
  <c r="M50"/>
  <c r="M49"/>
  <c r="N49" s="1"/>
  <c r="N48"/>
  <c r="M48"/>
  <c r="M47"/>
  <c r="N47" s="1"/>
  <c r="N46"/>
  <c r="M46"/>
  <c r="M45"/>
  <c r="N45" s="1"/>
  <c r="N44"/>
  <c r="M44"/>
  <c r="M43"/>
  <c r="N43" s="1"/>
  <c r="N42"/>
  <c r="M42"/>
  <c r="M41"/>
  <c r="N41" s="1"/>
  <c r="N38"/>
  <c r="M38"/>
  <c r="M37"/>
  <c r="N37" s="1"/>
  <c r="N36"/>
  <c r="M36"/>
  <c r="M35"/>
  <c r="N35" s="1"/>
  <c r="N34"/>
  <c r="M34"/>
  <c r="M33"/>
  <c r="N33" s="1"/>
  <c r="N32"/>
  <c r="M32"/>
  <c r="M31"/>
  <c r="N31" s="1"/>
  <c r="N30"/>
  <c r="M30"/>
  <c r="M29"/>
  <c r="N29" s="1"/>
  <c r="N28"/>
  <c r="M28"/>
  <c r="M27"/>
  <c r="N27" s="1"/>
  <c r="N26"/>
  <c r="M26"/>
  <c r="M25"/>
  <c r="N25" s="1"/>
  <c r="N24"/>
  <c r="M24"/>
  <c r="M23"/>
  <c r="N23" s="1"/>
  <c r="K22"/>
  <c r="K40" s="1"/>
  <c r="N20"/>
  <c r="M20"/>
  <c r="M19"/>
  <c r="N19" s="1"/>
  <c r="N18"/>
  <c r="M18"/>
  <c r="M17"/>
  <c r="N17" s="1"/>
  <c r="N16"/>
  <c r="M16"/>
  <c r="M15"/>
  <c r="N15" s="1"/>
  <c r="N14"/>
  <c r="M14"/>
  <c r="M13"/>
  <c r="N13" s="1"/>
  <c r="N12"/>
  <c r="M12"/>
  <c r="M11"/>
  <c r="N11" s="1"/>
  <c r="N10"/>
  <c r="M10"/>
  <c r="M9"/>
  <c r="N9" s="1"/>
  <c r="N8"/>
  <c r="M8"/>
  <c r="M7"/>
  <c r="N7" s="1"/>
  <c r="N6"/>
  <c r="M6"/>
  <c r="M5"/>
  <c r="N5" s="1"/>
  <c r="N4"/>
  <c r="M4"/>
  <c r="M3"/>
  <c r="N3" s="1"/>
  <c r="N2"/>
  <c r="M2"/>
  <c r="L2"/>
  <c r="L22" s="1"/>
  <c r="L40" s="1"/>
  <c r="L65" s="1"/>
  <c r="D7" i="2"/>
  <c r="F4"/>
  <c r="G5"/>
  <c r="C8"/>
  <c r="E5"/>
  <c r="G7"/>
  <c r="B9"/>
  <c r="D6"/>
  <c r="G9"/>
  <c r="C9"/>
  <c r="C4"/>
  <c r="F7"/>
  <c r="E6"/>
  <c r="B8"/>
  <c r="D5"/>
  <c r="C7"/>
  <c r="G8"/>
  <c r="C6"/>
  <c r="E8"/>
  <c r="F9"/>
  <c r="B7"/>
  <c r="D4"/>
  <c r="B6"/>
  <c r="G6"/>
  <c r="C5"/>
  <c r="B5"/>
  <c r="D9"/>
  <c r="B4"/>
  <c r="E7"/>
  <c r="D8"/>
  <c r="F8"/>
  <c r="E9"/>
  <c r="F6"/>
  <c r="E4"/>
  <c r="G4"/>
  <c r="F5"/>
  <c r="K65" i="1" l="1"/>
  <c r="M65" s="1"/>
  <c r="N65" s="1"/>
  <c r="M40"/>
  <c r="N40" s="1"/>
  <c r="M22"/>
  <c r="N22" s="1"/>
</calcChain>
</file>

<file path=xl/sharedStrings.xml><?xml version="1.0" encoding="utf-8"?>
<sst xmlns="http://schemas.openxmlformats.org/spreadsheetml/2006/main" count="213" uniqueCount="42">
  <si>
    <t>Transaction Type</t>
  </si>
  <si>
    <t xml:space="preserve">Date </t>
  </si>
  <si>
    <t>Day</t>
  </si>
  <si>
    <t xml:space="preserve">OPEN </t>
  </si>
  <si>
    <t xml:space="preserve">HIGH </t>
  </si>
  <si>
    <t xml:space="preserve">LOW </t>
  </si>
  <si>
    <t xml:space="preserve">close </t>
  </si>
  <si>
    <t xml:space="preserve">vwap </t>
  </si>
  <si>
    <t>Units Bought</t>
  </si>
  <si>
    <t>Buy Price</t>
  </si>
  <si>
    <t>Total Holding</t>
  </si>
  <si>
    <t xml:space="preserve"> Total Basic Investment</t>
  </si>
  <si>
    <t>Value at close</t>
  </si>
  <si>
    <t>Profit /Loss</t>
  </si>
  <si>
    <t>Units Sold</t>
  </si>
  <si>
    <t>Sell Price</t>
  </si>
  <si>
    <t>Profit Booked</t>
  </si>
  <si>
    <t>Total Profit Booked</t>
  </si>
  <si>
    <t>SIP</t>
  </si>
  <si>
    <t>MONDAY</t>
  </si>
  <si>
    <t>TUESDAY</t>
  </si>
  <si>
    <t>WEDNESDAY</t>
  </si>
  <si>
    <t>THURSDAY</t>
  </si>
  <si>
    <t>FRIDAY</t>
  </si>
  <si>
    <t xml:space="preserve">Next week trigger Price: </t>
  </si>
  <si>
    <t>MIN:</t>
  </si>
  <si>
    <t>HOLIDAY</t>
  </si>
  <si>
    <t>Profit Booking</t>
  </si>
  <si>
    <t>Round Off</t>
  </si>
  <si>
    <t>Amount</t>
  </si>
  <si>
    <t>Shares Remain</t>
  </si>
  <si>
    <t>Vanguard MSCI Index International Shares ETF (VGS)</t>
  </si>
  <si>
    <t>ASX:VGS</t>
  </si>
  <si>
    <t>Start Date:</t>
  </si>
  <si>
    <t>EndDate:</t>
  </si>
  <si>
    <t>DAY</t>
  </si>
  <si>
    <t>Profit Booked Date</t>
  </si>
  <si>
    <t>Total Investment</t>
  </si>
  <si>
    <t>Shares Sold</t>
  </si>
  <si>
    <t>Selling Price</t>
  </si>
  <si>
    <t xml:space="preserve">Profit </t>
  </si>
  <si>
    <t>Total Shares Left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</si>
</sst>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</font>
    <font>
      <b/>
      <i/>
      <sz val="10"/>
      <color theme="1"/>
      <name val="Arial"/>
      <scheme val="minor"/>
    </font>
    <font>
      <b/>
      <sz val="12"/>
      <color theme="1"/>
      <name val="Arial"/>
      <scheme val="minor"/>
    </font>
    <font>
      <b/>
      <i/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2" borderId="0" xfId="0" applyFont="1" applyFill="1" applyAlignment="1"/>
    <xf numFmtId="0" fontId="2" fillId="4" borderId="0" xfId="0" applyFont="1" applyFill="1" applyAlignment="1"/>
    <xf numFmtId="0" fontId="3" fillId="3" borderId="0" xfId="0" applyFont="1" applyFill="1" applyAlignment="1"/>
    <xf numFmtId="0" fontId="3" fillId="5" borderId="2" xfId="0" applyFont="1" applyFill="1" applyBorder="1" applyAlignment="1">
      <alignment horizontal="center"/>
    </xf>
    <xf numFmtId="164" fontId="3" fillId="5" borderId="0" xfId="0" applyNumberFormat="1" applyFont="1" applyFill="1" applyAlignment="1"/>
    <xf numFmtId="0" fontId="4" fillId="5" borderId="0" xfId="0" applyFont="1" applyFill="1" applyAlignment="1">
      <alignment horizontal="right"/>
    </xf>
    <xf numFmtId="2" fontId="3" fillId="5" borderId="0" xfId="0" applyNumberFormat="1" applyFont="1" applyFill="1"/>
    <xf numFmtId="0" fontId="3" fillId="5" borderId="0" xfId="0" applyFont="1" applyFill="1"/>
    <xf numFmtId="0" fontId="3" fillId="5" borderId="0" xfId="0" applyFont="1" applyFill="1" applyAlignment="1"/>
    <xf numFmtId="0" fontId="3" fillId="5" borderId="3" xfId="0" applyFont="1" applyFill="1" applyBorder="1"/>
    <xf numFmtId="0" fontId="3" fillId="2" borderId="0" xfId="0" applyFont="1" applyFill="1"/>
    <xf numFmtId="164" fontId="4" fillId="0" borderId="2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2" fontId="3" fillId="0" borderId="0" xfId="0" applyNumberFormat="1" applyFont="1"/>
    <xf numFmtId="0" fontId="3" fillId="2" borderId="0" xfId="0" applyFont="1" applyFill="1" applyAlignment="1"/>
    <xf numFmtId="0" fontId="3" fillId="2" borderId="3" xfId="0" applyFont="1" applyFill="1" applyBorder="1"/>
    <xf numFmtId="164" fontId="4" fillId="6" borderId="2" xfId="0" applyNumberFormat="1" applyFont="1" applyFill="1" applyBorder="1" applyAlignment="1">
      <alignment horizontal="right"/>
    </xf>
    <xf numFmtId="164" fontId="4" fillId="6" borderId="0" xfId="0" applyNumberFormat="1" applyFont="1" applyFill="1" applyAlignment="1">
      <alignment horizontal="right"/>
    </xf>
    <xf numFmtId="0" fontId="4" fillId="6" borderId="0" xfId="0" applyFont="1" applyFill="1" applyAlignment="1">
      <alignment horizontal="right"/>
    </xf>
    <xf numFmtId="0" fontId="3" fillId="6" borderId="0" xfId="0" applyFont="1" applyFill="1"/>
    <xf numFmtId="0" fontId="3" fillId="6" borderId="0" xfId="0" applyFont="1" applyFill="1" applyAlignment="1"/>
    <xf numFmtId="0" fontId="3" fillId="6" borderId="3" xfId="0" applyFont="1" applyFill="1" applyBorder="1"/>
    <xf numFmtId="0" fontId="4" fillId="5" borderId="2" xfId="0" applyFont="1" applyFill="1" applyBorder="1" applyAlignment="1">
      <alignment horizontal="center"/>
    </xf>
    <xf numFmtId="164" fontId="4" fillId="5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2" fontId="3" fillId="6" borderId="0" xfId="0" applyNumberFormat="1" applyFont="1" applyFill="1"/>
    <xf numFmtId="0" fontId="3" fillId="0" borderId="0" xfId="0" applyFont="1"/>
    <xf numFmtId="0" fontId="3" fillId="0" borderId="0" xfId="0" applyFont="1" applyAlignment="1"/>
    <xf numFmtId="164" fontId="3" fillId="0" borderId="2" xfId="0" applyNumberFormat="1" applyFont="1" applyBorder="1"/>
    <xf numFmtId="164" fontId="3" fillId="0" borderId="0" xfId="0" applyNumberFormat="1" applyFont="1"/>
    <xf numFmtId="164" fontId="3" fillId="6" borderId="2" xfId="0" applyNumberFormat="1" applyFont="1" applyFill="1" applyBorder="1"/>
    <xf numFmtId="164" fontId="3" fillId="6" borderId="0" xfId="0" applyNumberFormat="1" applyFont="1" applyFill="1"/>
    <xf numFmtId="164" fontId="3" fillId="5" borderId="0" xfId="0" applyNumberFormat="1" applyFont="1" applyFill="1"/>
    <xf numFmtId="2" fontId="3" fillId="5" borderId="0" xfId="0" applyNumberFormat="1" applyFont="1" applyFill="1" applyAlignment="1"/>
    <xf numFmtId="0" fontId="3" fillId="0" borderId="2" xfId="0" applyFont="1" applyBorder="1"/>
    <xf numFmtId="0" fontId="3" fillId="6" borderId="2" xfId="0" applyFont="1" applyFill="1" applyBorder="1"/>
    <xf numFmtId="0" fontId="2" fillId="6" borderId="0" xfId="0" applyFont="1" applyFill="1" applyAlignment="1"/>
    <xf numFmtId="0" fontId="2" fillId="6" borderId="0" xfId="0" applyFont="1" applyFill="1"/>
    <xf numFmtId="0" fontId="2" fillId="6" borderId="0" xfId="0" applyFont="1" applyFill="1" applyAlignment="1">
      <alignment horizontal="right"/>
    </xf>
    <xf numFmtId="2" fontId="2" fillId="6" borderId="0" xfId="0" applyNumberFormat="1" applyFont="1" applyFill="1"/>
    <xf numFmtId="0" fontId="6" fillId="6" borderId="0" xfId="0" applyFont="1" applyFill="1" applyAlignment="1"/>
    <xf numFmtId="0" fontId="6" fillId="6" borderId="0" xfId="0" applyFont="1" applyFill="1"/>
    <xf numFmtId="0" fontId="6" fillId="6" borderId="0" xfId="0" applyFont="1" applyFill="1" applyAlignment="1">
      <alignment horizontal="right"/>
    </xf>
    <xf numFmtId="0" fontId="3" fillId="5" borderId="2" xfId="0" applyFont="1" applyFill="1" applyBorder="1" applyAlignment="1"/>
    <xf numFmtId="0" fontId="3" fillId="0" borderId="3" xfId="0" applyFont="1" applyBorder="1"/>
    <xf numFmtId="0" fontId="3" fillId="7" borderId="0" xfId="0" applyFont="1" applyFill="1" applyAlignment="1"/>
    <xf numFmtId="164" fontId="3" fillId="5" borderId="0" xfId="0" applyNumberFormat="1" applyFont="1" applyFill="1" applyAlignment="1"/>
    <xf numFmtId="164" fontId="3" fillId="0" borderId="0" xfId="0" applyNumberFormat="1" applyFont="1" applyAlignment="1"/>
    <xf numFmtId="2" fontId="3" fillId="0" borderId="0" xfId="0" applyNumberFormat="1" applyFont="1" applyAlignment="1"/>
    <xf numFmtId="2" fontId="3" fillId="0" borderId="3" xfId="0" applyNumberFormat="1" applyFont="1" applyBorder="1" applyAlignment="1"/>
    <xf numFmtId="0" fontId="3" fillId="2" borderId="2" xfId="0" applyFont="1" applyFill="1" applyBorder="1"/>
    <xf numFmtId="0" fontId="3" fillId="5" borderId="2" xfId="0" applyFont="1" applyFill="1" applyBorder="1"/>
    <xf numFmtId="164" fontId="3" fillId="0" borderId="0" xfId="0" applyNumberFormat="1" applyFont="1" applyAlignment="1"/>
    <xf numFmtId="164" fontId="3" fillId="2" borderId="0" xfId="0" applyNumberFormat="1" applyFont="1" applyFill="1" applyAlignment="1"/>
    <xf numFmtId="0" fontId="2" fillId="8" borderId="0" xfId="0" applyFont="1" applyFill="1" applyAlignment="1">
      <alignment horizontal="center"/>
    </xf>
    <xf numFmtId="2" fontId="2" fillId="8" borderId="0" xfId="0" applyNumberFormat="1" applyFont="1" applyFill="1" applyAlignment="1">
      <alignment horizontal="center"/>
    </xf>
    <xf numFmtId="2" fontId="2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0" xfId="0" applyFont="1" applyFill="1"/>
    <xf numFmtId="0" fontId="2" fillId="8" borderId="0" xfId="0" applyFont="1" applyFill="1" applyAlignment="1"/>
    <xf numFmtId="2" fontId="2" fillId="8" borderId="0" xfId="0" applyNumberFormat="1" applyFont="1" applyFill="1"/>
    <xf numFmtId="0" fontId="2" fillId="8" borderId="3" xfId="0" applyFont="1" applyFill="1" applyBorder="1"/>
    <xf numFmtId="0" fontId="7" fillId="3" borderId="0" xfId="0" applyFont="1" applyFill="1" applyAlignment="1"/>
    <xf numFmtId="0" fontId="7" fillId="3" borderId="0" xfId="0" applyFont="1" applyFill="1"/>
    <xf numFmtId="0" fontId="2" fillId="0" borderId="0" xfId="0" applyFont="1" applyAlignment="1">
      <alignment horizontal="right"/>
    </xf>
    <xf numFmtId="14" fontId="3" fillId="0" borderId="0" xfId="0" applyNumberFormat="1" applyFont="1"/>
    <xf numFmtId="14" fontId="3" fillId="0" borderId="0" xfId="0" applyNumberFormat="1" applyFont="1" applyAlignment="1"/>
    <xf numFmtId="0" fontId="8" fillId="0" borderId="0" xfId="0" applyFont="1" applyAlignme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S55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3" max="3" width="11.42578125" customWidth="1"/>
    <col min="15" max="15" width="5.7109375" customWidth="1"/>
    <col min="19" max="19" width="15.85546875" customWidth="1"/>
  </cols>
  <sheetData>
    <row r="1" spans="1:1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/>
      <c r="P1" s="6" t="s">
        <v>14</v>
      </c>
      <c r="Q1" s="6" t="s">
        <v>15</v>
      </c>
      <c r="R1" s="7" t="s">
        <v>16</v>
      </c>
      <c r="S1" s="7" t="s">
        <v>17</v>
      </c>
    </row>
    <row r="2" spans="1:19" ht="15.75" customHeight="1">
      <c r="A2" s="8" t="s">
        <v>18</v>
      </c>
      <c r="B2" s="9">
        <v>45727</v>
      </c>
      <c r="C2" s="10"/>
      <c r="D2" s="10">
        <v>135.66</v>
      </c>
      <c r="E2" s="10">
        <v>136.05000000000001</v>
      </c>
      <c r="F2" s="10">
        <v>134.36000000000001</v>
      </c>
      <c r="G2" s="11">
        <v>136</v>
      </c>
      <c r="H2" s="12"/>
      <c r="I2" s="13">
        <v>3</v>
      </c>
      <c r="J2" s="13">
        <v>135.27000000000001</v>
      </c>
      <c r="K2" s="13">
        <v>3</v>
      </c>
      <c r="L2" s="12">
        <f>J2*I2</f>
        <v>405.81000000000006</v>
      </c>
      <c r="M2" s="12">
        <f t="shared" ref="M2:M20" si="0">K2*G2</f>
        <v>408</v>
      </c>
      <c r="N2" s="14">
        <f t="shared" ref="N2:N20" si="1">M2-L2</f>
        <v>2.1899999999999409</v>
      </c>
      <c r="O2" s="15"/>
      <c r="P2" s="15"/>
    </row>
    <row r="3" spans="1:19" ht="15.75" customHeight="1">
      <c r="A3" s="16"/>
      <c r="B3" s="17">
        <v>45728</v>
      </c>
      <c r="C3" s="18"/>
      <c r="D3" s="18">
        <v>134.77000000000001</v>
      </c>
      <c r="E3" s="18">
        <v>134.93</v>
      </c>
      <c r="F3" s="18">
        <v>134.47</v>
      </c>
      <c r="G3" s="19">
        <v>134.81</v>
      </c>
      <c r="K3" s="20">
        <v>3</v>
      </c>
      <c r="L3" s="20">
        <v>405.81</v>
      </c>
      <c r="M3" s="15">
        <f t="shared" si="0"/>
        <v>404.43</v>
      </c>
      <c r="N3" s="21">
        <f t="shared" si="1"/>
        <v>-1.3799999999999955</v>
      </c>
      <c r="R3" s="15"/>
    </row>
    <row r="4" spans="1:19" ht="15.75" customHeight="1">
      <c r="A4" s="16"/>
      <c r="B4" s="17">
        <v>45729</v>
      </c>
      <c r="C4" s="18"/>
      <c r="D4" s="18">
        <v>134.66999999999999</v>
      </c>
      <c r="E4" s="18">
        <v>134.94</v>
      </c>
      <c r="F4" s="18">
        <v>134.32</v>
      </c>
      <c r="G4" s="19">
        <v>134.38</v>
      </c>
      <c r="K4" s="20">
        <v>3</v>
      </c>
      <c r="L4" s="20">
        <v>405.81</v>
      </c>
      <c r="M4" s="15">
        <f t="shared" si="0"/>
        <v>403.14</v>
      </c>
      <c r="N4" s="21">
        <f t="shared" si="1"/>
        <v>-2.6700000000000159</v>
      </c>
    </row>
    <row r="5" spans="1:19" ht="15.75" customHeight="1">
      <c r="A5" s="16"/>
      <c r="B5" s="17">
        <v>45730</v>
      </c>
      <c r="C5" s="18"/>
      <c r="D5" s="18">
        <v>134.38</v>
      </c>
      <c r="E5" s="18">
        <v>134.69999999999999</v>
      </c>
      <c r="F5" s="18">
        <v>134.19999999999999</v>
      </c>
      <c r="G5" s="19">
        <v>134.47</v>
      </c>
      <c r="K5" s="20">
        <v>3</v>
      </c>
      <c r="L5" s="20">
        <v>405.81</v>
      </c>
      <c r="M5" s="15">
        <f t="shared" si="0"/>
        <v>403.40999999999997</v>
      </c>
      <c r="N5" s="21">
        <f t="shared" si="1"/>
        <v>-2.4000000000000341</v>
      </c>
    </row>
    <row r="6" spans="1:19" ht="15.75" customHeight="1">
      <c r="A6" s="16"/>
      <c r="B6" s="17">
        <v>45733</v>
      </c>
      <c r="C6" s="18" t="s">
        <v>19</v>
      </c>
      <c r="D6" s="18">
        <v>134.88999999999999</v>
      </c>
      <c r="E6" s="18">
        <v>135.1</v>
      </c>
      <c r="F6" s="18">
        <v>134.75</v>
      </c>
      <c r="G6" s="19">
        <v>135</v>
      </c>
      <c r="K6" s="20">
        <v>3</v>
      </c>
      <c r="L6" s="20">
        <v>405.81</v>
      </c>
      <c r="M6" s="15">
        <f t="shared" si="0"/>
        <v>405</v>
      </c>
      <c r="N6" s="21">
        <f t="shared" si="1"/>
        <v>-0.81000000000000227</v>
      </c>
    </row>
    <row r="7" spans="1:19" ht="15.75" customHeight="1">
      <c r="A7" s="16"/>
      <c r="B7" s="17">
        <v>45734</v>
      </c>
      <c r="C7" s="18" t="s">
        <v>20</v>
      </c>
      <c r="D7" s="18">
        <v>135.63</v>
      </c>
      <c r="E7" s="18">
        <v>135.66999999999999</v>
      </c>
      <c r="F7" s="18">
        <v>135.21</v>
      </c>
      <c r="G7" s="19">
        <v>135.32</v>
      </c>
      <c r="K7" s="20">
        <v>3</v>
      </c>
      <c r="L7" s="20">
        <v>405.81</v>
      </c>
      <c r="M7" s="15">
        <f t="shared" si="0"/>
        <v>405.96</v>
      </c>
      <c r="N7" s="21">
        <f t="shared" si="1"/>
        <v>0.14999999999997726</v>
      </c>
    </row>
    <row r="8" spans="1:19" ht="15.75" customHeight="1">
      <c r="A8" s="16"/>
      <c r="B8" s="17">
        <v>45735</v>
      </c>
      <c r="C8" s="18" t="s">
        <v>21</v>
      </c>
      <c r="D8" s="18">
        <v>135.35</v>
      </c>
      <c r="E8" s="18">
        <v>135.37</v>
      </c>
      <c r="F8" s="18">
        <v>134.91999999999999</v>
      </c>
      <c r="G8" s="19">
        <v>135.22</v>
      </c>
      <c r="K8" s="20">
        <v>3</v>
      </c>
      <c r="L8" s="20">
        <v>405.81</v>
      </c>
      <c r="M8" s="15">
        <f t="shared" si="0"/>
        <v>405.65999999999997</v>
      </c>
      <c r="N8" s="21">
        <f t="shared" si="1"/>
        <v>-0.15000000000003411</v>
      </c>
    </row>
    <row r="9" spans="1:19" ht="15.75" customHeight="1">
      <c r="A9" s="16"/>
      <c r="B9" s="17">
        <v>45736</v>
      </c>
      <c r="C9" s="18" t="s">
        <v>22</v>
      </c>
      <c r="D9" s="18">
        <v>136.57</v>
      </c>
      <c r="E9" s="18">
        <v>137.33000000000001</v>
      </c>
      <c r="F9" s="18">
        <v>136.55000000000001</v>
      </c>
      <c r="G9" s="19">
        <v>137.15</v>
      </c>
      <c r="K9" s="20">
        <v>3</v>
      </c>
      <c r="L9" s="20">
        <v>405.81</v>
      </c>
      <c r="M9" s="15">
        <f t="shared" si="0"/>
        <v>411.45000000000005</v>
      </c>
      <c r="N9" s="21">
        <f t="shared" si="1"/>
        <v>5.6400000000000432</v>
      </c>
    </row>
    <row r="10" spans="1:19" ht="15.75" customHeight="1">
      <c r="A10" s="16"/>
      <c r="B10" s="17">
        <v>45737</v>
      </c>
      <c r="C10" s="18" t="s">
        <v>23</v>
      </c>
      <c r="D10" s="18">
        <v>137.38</v>
      </c>
      <c r="E10" s="18">
        <v>137.38</v>
      </c>
      <c r="F10" s="18">
        <v>136.76</v>
      </c>
      <c r="G10" s="19">
        <v>137.11000000000001</v>
      </c>
      <c r="K10" s="20">
        <v>3</v>
      </c>
      <c r="L10" s="20">
        <v>405.81</v>
      </c>
      <c r="M10" s="15">
        <f t="shared" si="0"/>
        <v>411.33000000000004</v>
      </c>
      <c r="N10" s="21">
        <f t="shared" si="1"/>
        <v>5.5200000000000387</v>
      </c>
    </row>
    <row r="11" spans="1:19" ht="15.75" customHeight="1">
      <c r="A11" s="16"/>
      <c r="B11" s="17">
        <v>45740</v>
      </c>
      <c r="C11" s="18" t="s">
        <v>19</v>
      </c>
      <c r="D11" s="18">
        <v>137.84</v>
      </c>
      <c r="E11" s="18">
        <v>138.16</v>
      </c>
      <c r="F11" s="18">
        <v>137.77000000000001</v>
      </c>
      <c r="G11" s="19">
        <v>138.11000000000001</v>
      </c>
      <c r="K11" s="20">
        <v>3</v>
      </c>
      <c r="L11" s="20">
        <v>405.81</v>
      </c>
      <c r="M11" s="15">
        <f t="shared" si="0"/>
        <v>414.33000000000004</v>
      </c>
      <c r="N11" s="21">
        <f t="shared" si="1"/>
        <v>8.5200000000000387</v>
      </c>
    </row>
    <row r="12" spans="1:19" ht="15.75" customHeight="1">
      <c r="A12" s="16"/>
      <c r="B12" s="17">
        <v>45741</v>
      </c>
      <c r="C12" s="18" t="s">
        <v>20</v>
      </c>
      <c r="D12" s="18">
        <v>139</v>
      </c>
      <c r="E12" s="18">
        <v>139.03</v>
      </c>
      <c r="F12" s="18">
        <v>138.6</v>
      </c>
      <c r="G12" s="19">
        <v>138.6</v>
      </c>
      <c r="K12" s="20">
        <v>3</v>
      </c>
      <c r="L12" s="20">
        <v>405.81</v>
      </c>
      <c r="M12" s="15">
        <f t="shared" si="0"/>
        <v>415.79999999999995</v>
      </c>
      <c r="N12" s="21">
        <f t="shared" si="1"/>
        <v>9.9899999999999523</v>
      </c>
    </row>
    <row r="13" spans="1:19" ht="15.75" customHeight="1">
      <c r="A13" s="16"/>
      <c r="B13" s="17">
        <v>45742</v>
      </c>
      <c r="C13" s="18" t="s">
        <v>21</v>
      </c>
      <c r="D13" s="18">
        <v>139.1</v>
      </c>
      <c r="E13" s="18">
        <v>139.63</v>
      </c>
      <c r="F13" s="18">
        <v>138.78</v>
      </c>
      <c r="G13" s="19">
        <v>138.94999999999999</v>
      </c>
      <c r="K13" s="20">
        <v>3</v>
      </c>
      <c r="L13" s="20">
        <v>405.81</v>
      </c>
      <c r="M13" s="15">
        <f t="shared" si="0"/>
        <v>416.84999999999997</v>
      </c>
      <c r="N13" s="21">
        <f t="shared" si="1"/>
        <v>11.039999999999964</v>
      </c>
    </row>
    <row r="14" spans="1:19" ht="15.75" customHeight="1">
      <c r="A14" s="16"/>
      <c r="B14" s="17">
        <v>45743</v>
      </c>
      <c r="C14" s="18" t="s">
        <v>22</v>
      </c>
      <c r="D14" s="18">
        <v>137.44</v>
      </c>
      <c r="E14" s="18">
        <v>137.54</v>
      </c>
      <c r="F14" s="18">
        <v>137.18</v>
      </c>
      <c r="G14" s="19">
        <v>137.46</v>
      </c>
      <c r="K14" s="20">
        <v>3</v>
      </c>
      <c r="L14" s="20">
        <v>405.81</v>
      </c>
      <c r="M14" s="15">
        <f t="shared" si="0"/>
        <v>412.38</v>
      </c>
      <c r="N14" s="21">
        <f t="shared" si="1"/>
        <v>6.5699999999999932</v>
      </c>
    </row>
    <row r="15" spans="1:19" ht="15.75" customHeight="1">
      <c r="A15" s="16"/>
      <c r="B15" s="17">
        <v>45744</v>
      </c>
      <c r="C15" s="18" t="s">
        <v>23</v>
      </c>
      <c r="D15" s="18">
        <v>137.21</v>
      </c>
      <c r="E15" s="18">
        <v>137.49</v>
      </c>
      <c r="F15" s="18">
        <v>136.91</v>
      </c>
      <c r="G15" s="19">
        <v>137.38</v>
      </c>
      <c r="K15" s="20">
        <v>3</v>
      </c>
      <c r="L15" s="20">
        <v>405.81</v>
      </c>
      <c r="M15" s="15">
        <f t="shared" si="0"/>
        <v>412.14</v>
      </c>
      <c r="N15" s="21">
        <f t="shared" si="1"/>
        <v>6.3299999999999841</v>
      </c>
    </row>
    <row r="16" spans="1:19" ht="15.75" customHeight="1">
      <c r="A16" s="16"/>
      <c r="B16" s="17">
        <v>45747</v>
      </c>
      <c r="C16" s="18" t="s">
        <v>19</v>
      </c>
      <c r="D16" s="18">
        <v>134.66999999999999</v>
      </c>
      <c r="E16" s="18">
        <v>134.74</v>
      </c>
      <c r="F16" s="18">
        <v>133.93</v>
      </c>
      <c r="G16" s="19">
        <v>134.32</v>
      </c>
      <c r="K16" s="20">
        <v>3</v>
      </c>
      <c r="L16" s="20">
        <v>405.81</v>
      </c>
      <c r="M16" s="15">
        <f t="shared" si="0"/>
        <v>402.96</v>
      </c>
      <c r="N16" s="21">
        <f t="shared" si="1"/>
        <v>-2.8500000000000227</v>
      </c>
    </row>
    <row r="17" spans="1:14" ht="15.75" customHeight="1">
      <c r="A17" s="16"/>
      <c r="B17" s="17">
        <v>45748</v>
      </c>
      <c r="C17" s="18" t="s">
        <v>20</v>
      </c>
      <c r="D17" s="18">
        <v>134.22</v>
      </c>
      <c r="E17" s="18">
        <v>134.54</v>
      </c>
      <c r="F17" s="18">
        <v>133.69999999999999</v>
      </c>
      <c r="G17" s="19">
        <v>133.94999999999999</v>
      </c>
      <c r="K17" s="20">
        <v>3</v>
      </c>
      <c r="L17" s="20">
        <v>405.81</v>
      </c>
      <c r="M17" s="15">
        <f t="shared" si="0"/>
        <v>401.84999999999997</v>
      </c>
      <c r="N17" s="21">
        <f t="shared" si="1"/>
        <v>-3.9600000000000364</v>
      </c>
    </row>
    <row r="18" spans="1:14" ht="15.75" customHeight="1">
      <c r="A18" s="16"/>
      <c r="B18" s="17">
        <v>45749</v>
      </c>
      <c r="C18" s="18" t="s">
        <v>21</v>
      </c>
      <c r="D18" s="18">
        <v>134.41</v>
      </c>
      <c r="E18" s="18">
        <v>134.55000000000001</v>
      </c>
      <c r="F18" s="18">
        <v>133.69999999999999</v>
      </c>
      <c r="G18" s="19">
        <v>133.74</v>
      </c>
      <c r="K18" s="20">
        <v>3</v>
      </c>
      <c r="L18" s="20">
        <v>405.80999999999898</v>
      </c>
      <c r="M18" s="15">
        <f t="shared" si="0"/>
        <v>401.22</v>
      </c>
      <c r="N18" s="21">
        <f t="shared" si="1"/>
        <v>-4.5899999999989518</v>
      </c>
    </row>
    <row r="19" spans="1:14" ht="15.75" customHeight="1">
      <c r="A19" s="16"/>
      <c r="B19" s="17">
        <v>45750</v>
      </c>
      <c r="C19" s="18" t="s">
        <v>22</v>
      </c>
      <c r="D19" s="18">
        <v>132</v>
      </c>
      <c r="E19" s="18">
        <v>132.30000000000001</v>
      </c>
      <c r="F19" s="18">
        <v>130.72</v>
      </c>
      <c r="G19" s="19">
        <v>132.1</v>
      </c>
      <c r="K19" s="20">
        <v>3</v>
      </c>
      <c r="L19" s="20">
        <v>405.80999999999898</v>
      </c>
      <c r="M19" s="15">
        <f t="shared" si="0"/>
        <v>396.29999999999995</v>
      </c>
      <c r="N19" s="21">
        <f t="shared" si="1"/>
        <v>-9.5099999999990246</v>
      </c>
    </row>
    <row r="20" spans="1:14" ht="15.75" customHeight="1">
      <c r="A20" s="16"/>
      <c r="B20" s="17">
        <v>45751</v>
      </c>
      <c r="C20" s="18" t="s">
        <v>23</v>
      </c>
      <c r="D20" s="18">
        <v>130</v>
      </c>
      <c r="E20" s="18">
        <v>130</v>
      </c>
      <c r="F20" s="18">
        <v>128.35</v>
      </c>
      <c r="G20" s="19">
        <v>129.51</v>
      </c>
      <c r="K20" s="20">
        <v>3</v>
      </c>
      <c r="L20" s="20">
        <v>405.80999999999898</v>
      </c>
      <c r="M20" s="15">
        <f t="shared" si="0"/>
        <v>388.53</v>
      </c>
      <c r="N20" s="21">
        <f t="shared" si="1"/>
        <v>-17.279999999999006</v>
      </c>
    </row>
    <row r="21" spans="1:14" ht="15.75" customHeight="1">
      <c r="A21" s="22"/>
      <c r="B21" s="23"/>
      <c r="C21" s="24"/>
      <c r="D21" s="24"/>
      <c r="E21" s="24"/>
      <c r="F21" s="24"/>
      <c r="G21" s="25"/>
      <c r="H21" s="25"/>
      <c r="I21" s="26"/>
      <c r="J21" s="26"/>
      <c r="K21" s="26"/>
      <c r="L21" s="25"/>
      <c r="M21" s="25"/>
      <c r="N21" s="27"/>
    </row>
    <row r="22" spans="1:14" ht="15.75" customHeight="1">
      <c r="A22" s="28" t="s">
        <v>18</v>
      </c>
      <c r="B22" s="29">
        <v>45754</v>
      </c>
      <c r="C22" s="10" t="s">
        <v>19</v>
      </c>
      <c r="D22" s="10">
        <v>123.5</v>
      </c>
      <c r="E22" s="10">
        <v>124.92</v>
      </c>
      <c r="F22" s="10">
        <v>122.4</v>
      </c>
      <c r="G22" s="11">
        <v>123.16</v>
      </c>
      <c r="H22" s="12"/>
      <c r="I22" s="13">
        <v>1</v>
      </c>
      <c r="J22" s="13">
        <v>122.97</v>
      </c>
      <c r="K22" s="30">
        <f t="shared" ref="K22:L22" si="2">K2+I22</f>
        <v>4</v>
      </c>
      <c r="L22" s="12">
        <f t="shared" si="2"/>
        <v>528.78000000000009</v>
      </c>
      <c r="M22" s="12">
        <f t="shared" ref="M22:M38" si="3">K22*G22</f>
        <v>492.64</v>
      </c>
      <c r="N22" s="14">
        <f t="shared" ref="N22:N38" si="4">M22-L22</f>
        <v>-36.1400000000001</v>
      </c>
    </row>
    <row r="23" spans="1:14" ht="15.75" customHeight="1">
      <c r="A23" s="16"/>
      <c r="B23" s="17">
        <v>45755</v>
      </c>
      <c r="C23" s="18" t="s">
        <v>20</v>
      </c>
      <c r="D23" s="18">
        <v>127.5</v>
      </c>
      <c r="E23" s="18">
        <v>128.65</v>
      </c>
      <c r="F23" s="18">
        <v>126.51</v>
      </c>
      <c r="G23" s="19">
        <v>126.79</v>
      </c>
      <c r="K23" s="31">
        <v>4</v>
      </c>
      <c r="L23" s="20">
        <v>528.78</v>
      </c>
      <c r="M23" s="15">
        <f t="shared" si="3"/>
        <v>507.16</v>
      </c>
      <c r="N23" s="21">
        <f t="shared" si="4"/>
        <v>-21.619999999999948</v>
      </c>
    </row>
    <row r="24" spans="1:14" ht="15.75" customHeight="1">
      <c r="A24" s="16"/>
      <c r="B24" s="17">
        <v>45756</v>
      </c>
      <c r="C24" s="18" t="s">
        <v>21</v>
      </c>
      <c r="D24" s="18">
        <v>126</v>
      </c>
      <c r="E24" s="18">
        <v>126</v>
      </c>
      <c r="F24" s="18">
        <v>122.8</v>
      </c>
      <c r="G24" s="19">
        <v>123.78</v>
      </c>
      <c r="K24" s="31">
        <v>4</v>
      </c>
      <c r="L24" s="20">
        <v>528.78</v>
      </c>
      <c r="M24" s="15">
        <f t="shared" si="3"/>
        <v>495.12</v>
      </c>
      <c r="N24" s="21">
        <f t="shared" si="4"/>
        <v>-33.659999999999968</v>
      </c>
    </row>
    <row r="25" spans="1:14" ht="15.75" customHeight="1">
      <c r="A25" s="16"/>
      <c r="B25" s="17">
        <v>45757</v>
      </c>
      <c r="C25" s="18" t="s">
        <v>22</v>
      </c>
      <c r="D25" s="18">
        <v>133</v>
      </c>
      <c r="E25" s="18">
        <v>133.85</v>
      </c>
      <c r="F25" s="18">
        <v>130.56</v>
      </c>
      <c r="G25" s="19">
        <v>131.16</v>
      </c>
      <c r="K25" s="31">
        <v>4</v>
      </c>
      <c r="L25" s="20">
        <v>528.78</v>
      </c>
      <c r="M25" s="15">
        <f t="shared" si="3"/>
        <v>524.64</v>
      </c>
      <c r="N25" s="21">
        <f t="shared" si="4"/>
        <v>-4.1399999999999864</v>
      </c>
    </row>
    <row r="26" spans="1:14" ht="15.75" customHeight="1">
      <c r="A26" s="16"/>
      <c r="B26" s="17">
        <v>45758</v>
      </c>
      <c r="C26" s="18" t="s">
        <v>23</v>
      </c>
      <c r="D26" s="18">
        <v>126.58</v>
      </c>
      <c r="E26" s="18">
        <v>129.16999999999999</v>
      </c>
      <c r="F26" s="18">
        <v>125.34</v>
      </c>
      <c r="G26" s="19">
        <v>129.16999999999999</v>
      </c>
      <c r="K26" s="31">
        <v>4</v>
      </c>
      <c r="L26" s="20">
        <v>528.78</v>
      </c>
      <c r="M26" s="15">
        <f t="shared" si="3"/>
        <v>516.67999999999995</v>
      </c>
      <c r="N26" s="21">
        <f t="shared" si="4"/>
        <v>-12.100000000000023</v>
      </c>
    </row>
    <row r="27" spans="1:14" ht="15.75" customHeight="1">
      <c r="A27" s="16"/>
      <c r="B27" s="17">
        <v>45761</v>
      </c>
      <c r="C27" s="18" t="s">
        <v>19</v>
      </c>
      <c r="D27" s="18">
        <v>128.74</v>
      </c>
      <c r="E27" s="18">
        <v>129.47</v>
      </c>
      <c r="F27" s="18">
        <v>128.61000000000001</v>
      </c>
      <c r="G27" s="19">
        <v>129.15</v>
      </c>
      <c r="K27" s="31">
        <v>4</v>
      </c>
      <c r="L27" s="20">
        <v>528.78</v>
      </c>
      <c r="M27" s="15">
        <f t="shared" si="3"/>
        <v>516.6</v>
      </c>
      <c r="N27" s="21">
        <f t="shared" si="4"/>
        <v>-12.17999999999995</v>
      </c>
    </row>
    <row r="28" spans="1:14" ht="15.75" customHeight="1">
      <c r="A28" s="16"/>
      <c r="B28" s="17">
        <v>45762</v>
      </c>
      <c r="C28" s="18" t="s">
        <v>20</v>
      </c>
      <c r="D28" s="18">
        <v>128.94999999999999</v>
      </c>
      <c r="E28" s="18">
        <v>129</v>
      </c>
      <c r="F28" s="18">
        <v>127.55</v>
      </c>
      <c r="G28" s="19">
        <v>128.01</v>
      </c>
      <c r="K28" s="31">
        <v>4</v>
      </c>
      <c r="L28" s="20">
        <v>528.78</v>
      </c>
      <c r="M28" s="15">
        <f t="shared" si="3"/>
        <v>512.04</v>
      </c>
      <c r="N28" s="21">
        <f t="shared" si="4"/>
        <v>-16.740000000000009</v>
      </c>
    </row>
    <row r="29" spans="1:14" ht="15.75" customHeight="1">
      <c r="A29" s="16"/>
      <c r="B29" s="17">
        <v>45763</v>
      </c>
      <c r="C29" s="18" t="s">
        <v>21</v>
      </c>
      <c r="D29" s="18">
        <v>127.89</v>
      </c>
      <c r="E29" s="18">
        <v>127.89</v>
      </c>
      <c r="F29" s="18">
        <v>126.59</v>
      </c>
      <c r="G29" s="19">
        <v>126.89</v>
      </c>
      <c r="K29" s="31">
        <v>4</v>
      </c>
      <c r="L29" s="20">
        <v>528.78</v>
      </c>
      <c r="M29" s="15">
        <f t="shared" si="3"/>
        <v>507.56</v>
      </c>
      <c r="N29" s="21">
        <f t="shared" si="4"/>
        <v>-21.21999999999997</v>
      </c>
    </row>
    <row r="30" spans="1:14" ht="15.75" customHeight="1">
      <c r="A30" s="16"/>
      <c r="B30" s="17">
        <v>45764</v>
      </c>
      <c r="C30" s="18" t="s">
        <v>22</v>
      </c>
      <c r="D30" s="18">
        <v>126.29</v>
      </c>
      <c r="E30" s="18">
        <v>127.58</v>
      </c>
      <c r="F30" s="18">
        <v>125.8</v>
      </c>
      <c r="G30" s="19">
        <v>127.58</v>
      </c>
      <c r="K30" s="31">
        <v>4</v>
      </c>
      <c r="L30" s="20">
        <v>528.78</v>
      </c>
      <c r="M30" s="15">
        <f t="shared" si="3"/>
        <v>510.32</v>
      </c>
      <c r="N30" s="21">
        <f t="shared" si="4"/>
        <v>-18.45999999999998</v>
      </c>
    </row>
    <row r="31" spans="1:14" ht="15.75" customHeight="1">
      <c r="A31" s="16"/>
      <c r="B31" s="17">
        <v>45769</v>
      </c>
      <c r="C31" s="18" t="s">
        <v>23</v>
      </c>
      <c r="D31" s="18">
        <v>126.31</v>
      </c>
      <c r="E31" s="18">
        <v>127</v>
      </c>
      <c r="F31" s="18">
        <v>123.3</v>
      </c>
      <c r="G31" s="19">
        <v>123.5</v>
      </c>
      <c r="K31" s="31">
        <v>4</v>
      </c>
      <c r="L31" s="20">
        <v>528.78</v>
      </c>
      <c r="M31" s="15">
        <f t="shared" si="3"/>
        <v>494</v>
      </c>
      <c r="N31" s="21">
        <f t="shared" si="4"/>
        <v>-34.779999999999973</v>
      </c>
    </row>
    <row r="32" spans="1:14" ht="15.75" customHeight="1">
      <c r="A32" s="16"/>
      <c r="B32" s="17">
        <v>45770</v>
      </c>
      <c r="C32" s="18"/>
      <c r="D32" s="18">
        <v>128.58000000000001</v>
      </c>
      <c r="E32" s="18">
        <v>128.74</v>
      </c>
      <c r="F32" s="18">
        <v>127.54</v>
      </c>
      <c r="G32" s="19">
        <v>127.71</v>
      </c>
      <c r="K32" s="31">
        <v>4</v>
      </c>
      <c r="L32" s="20">
        <v>528.78</v>
      </c>
      <c r="M32" s="15">
        <f t="shared" si="3"/>
        <v>510.84</v>
      </c>
      <c r="N32" s="21">
        <f t="shared" si="4"/>
        <v>-17.939999999999998</v>
      </c>
    </row>
    <row r="33" spans="1:14" ht="15.75" customHeight="1">
      <c r="A33" s="16"/>
      <c r="B33" s="17">
        <v>45771</v>
      </c>
      <c r="C33" s="18"/>
      <c r="D33" s="18">
        <v>128.83000000000001</v>
      </c>
      <c r="E33" s="18">
        <v>129.11000000000001</v>
      </c>
      <c r="F33" s="18">
        <v>128.41999999999999</v>
      </c>
      <c r="G33" s="19">
        <v>128.6</v>
      </c>
      <c r="K33" s="31">
        <v>4</v>
      </c>
      <c r="L33" s="20">
        <v>528.78</v>
      </c>
      <c r="M33" s="15">
        <f t="shared" si="3"/>
        <v>514.4</v>
      </c>
      <c r="N33" s="21">
        <f t="shared" si="4"/>
        <v>-14.379999999999995</v>
      </c>
    </row>
    <row r="34" spans="1:14" ht="15.75" customHeight="1">
      <c r="A34" s="16"/>
      <c r="B34" s="17">
        <v>45775</v>
      </c>
      <c r="C34" s="18"/>
      <c r="D34" s="18">
        <v>130.97</v>
      </c>
      <c r="E34" s="18">
        <v>131.18</v>
      </c>
      <c r="F34" s="18">
        <v>130.34</v>
      </c>
      <c r="G34" s="19">
        <v>130.66</v>
      </c>
      <c r="K34" s="31">
        <v>4</v>
      </c>
      <c r="L34" s="20">
        <v>528.78</v>
      </c>
      <c r="M34" s="15">
        <f t="shared" si="3"/>
        <v>522.64</v>
      </c>
      <c r="N34" s="21">
        <f t="shared" si="4"/>
        <v>-6.1399999999999864</v>
      </c>
    </row>
    <row r="35" spans="1:14" ht="15.75" customHeight="1">
      <c r="A35" s="16"/>
      <c r="B35" s="17">
        <v>45776</v>
      </c>
      <c r="C35" s="18"/>
      <c r="D35" s="18">
        <v>130.97999999999999</v>
      </c>
      <c r="E35" s="18">
        <v>131.47999999999999</v>
      </c>
      <c r="F35" s="18">
        <v>130.82</v>
      </c>
      <c r="G35" s="19">
        <v>131.13</v>
      </c>
      <c r="K35" s="31">
        <v>4</v>
      </c>
      <c r="L35" s="20">
        <v>528.78</v>
      </c>
      <c r="M35" s="15">
        <f t="shared" si="3"/>
        <v>524.52</v>
      </c>
      <c r="N35" s="21">
        <f t="shared" si="4"/>
        <v>-4.2599999999999909</v>
      </c>
    </row>
    <row r="36" spans="1:14" ht="15.75" customHeight="1">
      <c r="A36" s="16"/>
      <c r="B36" s="17">
        <v>45777</v>
      </c>
      <c r="C36" s="18"/>
      <c r="D36" s="18">
        <v>132.03</v>
      </c>
      <c r="E36" s="18">
        <v>132.25</v>
      </c>
      <c r="F36" s="18">
        <v>131.21</v>
      </c>
      <c r="G36" s="19">
        <v>131.41999999999999</v>
      </c>
      <c r="K36" s="31">
        <v>4</v>
      </c>
      <c r="L36" s="20">
        <v>528.78</v>
      </c>
      <c r="M36" s="15">
        <f t="shared" si="3"/>
        <v>525.67999999999995</v>
      </c>
      <c r="N36" s="21">
        <f t="shared" si="4"/>
        <v>-3.1000000000000227</v>
      </c>
    </row>
    <row r="37" spans="1:14" ht="15.75" customHeight="1">
      <c r="A37" s="16"/>
      <c r="B37" s="17">
        <v>45778</v>
      </c>
      <c r="C37" s="18"/>
      <c r="D37" s="18">
        <v>132.61000000000001</v>
      </c>
      <c r="E37" s="18">
        <v>133.47</v>
      </c>
      <c r="F37" s="18">
        <v>132.61000000000001</v>
      </c>
      <c r="G37" s="19">
        <v>133.18</v>
      </c>
      <c r="K37" s="31">
        <v>4</v>
      </c>
      <c r="L37" s="20">
        <v>528.78</v>
      </c>
      <c r="M37" s="15">
        <f t="shared" si="3"/>
        <v>532.72</v>
      </c>
      <c r="N37" s="21">
        <f t="shared" si="4"/>
        <v>3.9400000000000546</v>
      </c>
    </row>
    <row r="38" spans="1:14" ht="15.75" customHeight="1">
      <c r="A38" s="16"/>
      <c r="B38" s="17">
        <v>45779</v>
      </c>
      <c r="C38" s="18"/>
      <c r="D38" s="18">
        <v>132.78</v>
      </c>
      <c r="E38" s="18">
        <v>133.6</v>
      </c>
      <c r="F38" s="18">
        <v>132.63999999999999</v>
      </c>
      <c r="G38" s="19">
        <v>133.24</v>
      </c>
      <c r="K38" s="31">
        <v>4</v>
      </c>
      <c r="L38" s="20">
        <v>528.78</v>
      </c>
      <c r="M38" s="15">
        <f t="shared" si="3"/>
        <v>532.96</v>
      </c>
      <c r="N38" s="21">
        <f t="shared" si="4"/>
        <v>4.1800000000000637</v>
      </c>
    </row>
    <row r="39" spans="1:14" ht="15.75" customHeight="1">
      <c r="A39" s="22"/>
      <c r="B39" s="23"/>
      <c r="C39" s="24"/>
      <c r="D39" s="24"/>
      <c r="E39" s="24"/>
      <c r="F39" s="24"/>
      <c r="G39" s="32"/>
      <c r="H39" s="25"/>
      <c r="I39" s="26"/>
      <c r="J39" s="26"/>
      <c r="K39" s="26"/>
      <c r="L39" s="25"/>
      <c r="M39" s="25"/>
      <c r="N39" s="27"/>
    </row>
    <row r="40" spans="1:14" ht="15.75" customHeight="1">
      <c r="A40" s="28" t="s">
        <v>18</v>
      </c>
      <c r="B40" s="29">
        <v>45782</v>
      </c>
      <c r="C40" s="10"/>
      <c r="D40" s="10">
        <v>133.21</v>
      </c>
      <c r="E40" s="10">
        <v>133.46</v>
      </c>
      <c r="F40" s="10">
        <v>132.22</v>
      </c>
      <c r="G40" s="12">
        <v>132.52000000000001</v>
      </c>
      <c r="H40" s="12"/>
      <c r="I40" s="13">
        <v>1</v>
      </c>
      <c r="J40" s="13">
        <v>132.36000000000001</v>
      </c>
      <c r="K40" s="13">
        <f t="shared" ref="K40:L40" si="5">K22+I40</f>
        <v>5</v>
      </c>
      <c r="L40" s="12">
        <f t="shared" si="5"/>
        <v>661.1400000000001</v>
      </c>
      <c r="M40" s="12">
        <f t="shared" ref="M40:M63" si="6">K40*G40</f>
        <v>662.6</v>
      </c>
      <c r="N40" s="14">
        <f t="shared" ref="N40:N63" si="7">M40-L40</f>
        <v>1.4599999999999227</v>
      </c>
    </row>
    <row r="41" spans="1:14" ht="15.75" customHeight="1">
      <c r="A41" s="16"/>
      <c r="B41" s="17">
        <v>45783</v>
      </c>
      <c r="C41" s="18"/>
      <c r="D41" s="18">
        <v>132.91999999999999</v>
      </c>
      <c r="E41" s="18">
        <v>133.07</v>
      </c>
      <c r="F41" s="18">
        <v>132.56</v>
      </c>
      <c r="G41" s="33">
        <v>132.76</v>
      </c>
      <c r="K41" s="34">
        <v>5</v>
      </c>
      <c r="L41" s="20">
        <v>661.14</v>
      </c>
      <c r="M41" s="15">
        <f t="shared" si="6"/>
        <v>663.8</v>
      </c>
      <c r="N41" s="21">
        <f t="shared" si="7"/>
        <v>2.6599999999999682</v>
      </c>
    </row>
    <row r="42" spans="1:14" ht="15.75" customHeight="1">
      <c r="A42" s="16"/>
      <c r="B42" s="17">
        <v>45784</v>
      </c>
      <c r="C42" s="18"/>
      <c r="D42" s="18">
        <v>132.28</v>
      </c>
      <c r="E42" s="18">
        <v>132.53</v>
      </c>
      <c r="F42" s="18">
        <v>132.01</v>
      </c>
      <c r="G42" s="33">
        <v>132.26</v>
      </c>
      <c r="K42" s="34">
        <v>5</v>
      </c>
      <c r="L42" s="20">
        <v>661.14</v>
      </c>
      <c r="M42" s="15">
        <f t="shared" si="6"/>
        <v>661.3</v>
      </c>
      <c r="N42" s="21">
        <f t="shared" si="7"/>
        <v>0.15999999999996817</v>
      </c>
    </row>
    <row r="43" spans="1:14" ht="15.75" customHeight="1">
      <c r="A43" s="16"/>
      <c r="B43" s="17">
        <v>45785</v>
      </c>
      <c r="C43" s="18"/>
      <c r="D43" s="18">
        <v>132.76</v>
      </c>
      <c r="E43" s="18">
        <v>133.96</v>
      </c>
      <c r="F43" s="18">
        <v>132.76</v>
      </c>
      <c r="G43" s="33">
        <v>133.72</v>
      </c>
      <c r="K43" s="34">
        <v>5</v>
      </c>
      <c r="L43" s="20">
        <v>661.14</v>
      </c>
      <c r="M43" s="15">
        <f t="shared" si="6"/>
        <v>668.6</v>
      </c>
      <c r="N43" s="21">
        <f t="shared" si="7"/>
        <v>7.4600000000000364</v>
      </c>
    </row>
    <row r="44" spans="1:14" ht="12.75">
      <c r="A44" s="35"/>
      <c r="B44" s="36">
        <v>45786.666666666672</v>
      </c>
      <c r="C44" s="19"/>
      <c r="D44" s="19">
        <v>134.16999999999999</v>
      </c>
      <c r="E44" s="19">
        <v>134.9</v>
      </c>
      <c r="F44" s="19">
        <v>134.13999999999999</v>
      </c>
      <c r="G44" s="33">
        <v>134.5</v>
      </c>
      <c r="K44" s="34">
        <v>5</v>
      </c>
      <c r="L44" s="20">
        <v>661.14</v>
      </c>
      <c r="M44" s="15">
        <f t="shared" si="6"/>
        <v>672.5</v>
      </c>
      <c r="N44" s="21">
        <f t="shared" si="7"/>
        <v>11.360000000000014</v>
      </c>
    </row>
    <row r="45" spans="1:14" ht="12.75">
      <c r="A45" s="35"/>
      <c r="B45" s="36">
        <v>45789.666666666672</v>
      </c>
      <c r="C45" s="19"/>
      <c r="D45" s="19">
        <v>135.34</v>
      </c>
      <c r="E45" s="19">
        <v>135.5</v>
      </c>
      <c r="F45" s="19">
        <v>135.16</v>
      </c>
      <c r="G45" s="33">
        <v>135.22999999999999</v>
      </c>
      <c r="K45" s="34">
        <v>5</v>
      </c>
      <c r="L45" s="20">
        <v>661.14</v>
      </c>
      <c r="M45" s="15">
        <f t="shared" si="6"/>
        <v>676.15</v>
      </c>
      <c r="N45" s="21">
        <f t="shared" si="7"/>
        <v>15.009999999999991</v>
      </c>
    </row>
    <row r="46" spans="1:14" ht="12.75">
      <c r="A46" s="35"/>
      <c r="B46" s="36">
        <v>45790.666666666672</v>
      </c>
      <c r="C46" s="19"/>
      <c r="D46" s="19">
        <v>138.01</v>
      </c>
      <c r="E46" s="19">
        <v>138.19</v>
      </c>
      <c r="F46" s="19">
        <v>136.85</v>
      </c>
      <c r="G46" s="33">
        <v>137.22999999999999</v>
      </c>
      <c r="K46" s="34">
        <v>5</v>
      </c>
      <c r="L46" s="20">
        <v>661.14</v>
      </c>
      <c r="M46" s="15">
        <f t="shared" si="6"/>
        <v>686.15</v>
      </c>
      <c r="N46" s="21">
        <f t="shared" si="7"/>
        <v>25.009999999999991</v>
      </c>
    </row>
    <row r="47" spans="1:14" ht="12.75">
      <c r="A47" s="35"/>
      <c r="B47" s="36">
        <v>45791.666666666672</v>
      </c>
      <c r="C47" s="19"/>
      <c r="D47" s="19">
        <v>137.28</v>
      </c>
      <c r="E47" s="19">
        <v>137.78</v>
      </c>
      <c r="F47" s="19">
        <v>136.6</v>
      </c>
      <c r="G47" s="33">
        <v>137.19</v>
      </c>
      <c r="K47" s="34">
        <v>5</v>
      </c>
      <c r="L47" s="20">
        <v>661.14</v>
      </c>
      <c r="M47" s="15">
        <f t="shared" si="6"/>
        <v>685.95</v>
      </c>
      <c r="N47" s="21">
        <f t="shared" si="7"/>
        <v>24.810000000000059</v>
      </c>
    </row>
    <row r="48" spans="1:14" ht="12.75">
      <c r="A48" s="35"/>
      <c r="B48" s="36">
        <v>45792.666666666672</v>
      </c>
      <c r="C48" s="19"/>
      <c r="D48" s="19">
        <v>137.78</v>
      </c>
      <c r="E48" s="19">
        <v>137.93</v>
      </c>
      <c r="F48" s="19">
        <v>137.31</v>
      </c>
      <c r="G48" s="33">
        <v>137.62</v>
      </c>
      <c r="K48" s="34">
        <v>5</v>
      </c>
      <c r="L48" s="20">
        <v>661.14</v>
      </c>
      <c r="M48" s="15">
        <f t="shared" si="6"/>
        <v>688.1</v>
      </c>
      <c r="N48" s="21">
        <f t="shared" si="7"/>
        <v>26.960000000000036</v>
      </c>
    </row>
    <row r="49" spans="1:14" ht="12.75">
      <c r="A49" s="35"/>
      <c r="B49" s="36">
        <v>45793.666666666672</v>
      </c>
      <c r="C49" s="19"/>
      <c r="D49" s="19">
        <v>139.28</v>
      </c>
      <c r="E49" s="19">
        <v>139.41999999999999</v>
      </c>
      <c r="F49" s="19">
        <v>138.62</v>
      </c>
      <c r="G49" s="33">
        <v>138.72</v>
      </c>
      <c r="K49" s="34">
        <v>5</v>
      </c>
      <c r="L49" s="20">
        <v>661.14</v>
      </c>
      <c r="M49" s="15">
        <f t="shared" si="6"/>
        <v>693.6</v>
      </c>
      <c r="N49" s="21">
        <f t="shared" si="7"/>
        <v>32.460000000000036</v>
      </c>
    </row>
    <row r="50" spans="1:14" ht="12.75">
      <c r="A50" s="35"/>
      <c r="B50" s="36">
        <v>45796.666666666672</v>
      </c>
      <c r="C50" s="19"/>
      <c r="D50" s="19">
        <v>139.37</v>
      </c>
      <c r="E50" s="19">
        <v>139.4</v>
      </c>
      <c r="F50" s="19">
        <v>138.69</v>
      </c>
      <c r="G50" s="33">
        <v>139.06</v>
      </c>
      <c r="K50" s="34">
        <v>5</v>
      </c>
      <c r="L50" s="20">
        <v>661.14</v>
      </c>
      <c r="M50" s="15">
        <f t="shared" si="6"/>
        <v>695.3</v>
      </c>
      <c r="N50" s="21">
        <f t="shared" si="7"/>
        <v>34.159999999999968</v>
      </c>
    </row>
    <row r="51" spans="1:14" ht="12.75">
      <c r="A51" s="35"/>
      <c r="B51" s="36">
        <v>45797.666666666672</v>
      </c>
      <c r="C51" s="19"/>
      <c r="D51" s="19">
        <v>139.49</v>
      </c>
      <c r="E51" s="19">
        <v>140.11000000000001</v>
      </c>
      <c r="F51" s="19">
        <v>139.26</v>
      </c>
      <c r="G51" s="33">
        <v>139.66</v>
      </c>
      <c r="K51" s="34">
        <v>5</v>
      </c>
      <c r="L51" s="20">
        <v>661.14</v>
      </c>
      <c r="M51" s="15">
        <f t="shared" si="6"/>
        <v>698.3</v>
      </c>
      <c r="N51" s="21">
        <f t="shared" si="7"/>
        <v>37.159999999999968</v>
      </c>
    </row>
    <row r="52" spans="1:14" ht="12.75">
      <c r="A52" s="35"/>
      <c r="B52" s="36">
        <v>45798.666666666672</v>
      </c>
      <c r="C52" s="19"/>
      <c r="D52" s="19">
        <v>139.88</v>
      </c>
      <c r="E52" s="19">
        <v>139.99</v>
      </c>
      <c r="F52" s="19">
        <v>138.94999999999999</v>
      </c>
      <c r="G52" s="33">
        <v>138.97999999999999</v>
      </c>
      <c r="K52" s="34">
        <v>5</v>
      </c>
      <c r="L52" s="20">
        <v>661.14</v>
      </c>
      <c r="M52" s="15">
        <f t="shared" si="6"/>
        <v>694.9</v>
      </c>
      <c r="N52" s="21">
        <f t="shared" si="7"/>
        <v>33.759999999999991</v>
      </c>
    </row>
    <row r="53" spans="1:14" ht="12.75">
      <c r="A53" s="35"/>
      <c r="B53" s="36">
        <v>45799.666666666672</v>
      </c>
      <c r="C53" s="19"/>
      <c r="D53" s="19">
        <v>137.97999999999999</v>
      </c>
      <c r="E53" s="19">
        <v>138.25</v>
      </c>
      <c r="F53" s="19">
        <v>137.55000000000001</v>
      </c>
      <c r="G53" s="33">
        <v>137.88999999999999</v>
      </c>
      <c r="K53" s="34">
        <v>5</v>
      </c>
      <c r="L53" s="20">
        <v>661.14</v>
      </c>
      <c r="M53" s="15">
        <f t="shared" si="6"/>
        <v>689.44999999999993</v>
      </c>
      <c r="N53" s="21">
        <f t="shared" si="7"/>
        <v>28.309999999999945</v>
      </c>
    </row>
    <row r="54" spans="1:14" ht="12.75">
      <c r="A54" s="35"/>
      <c r="B54" s="36">
        <v>45800.666666666672</v>
      </c>
      <c r="C54" s="19"/>
      <c r="D54" s="19">
        <v>138.38999999999999</v>
      </c>
      <c r="E54" s="19">
        <v>138.47999999999999</v>
      </c>
      <c r="F54" s="19">
        <v>137.72999999999999</v>
      </c>
      <c r="G54" s="33">
        <v>137.72999999999999</v>
      </c>
      <c r="K54" s="34">
        <v>5</v>
      </c>
      <c r="L54" s="20">
        <v>661.14</v>
      </c>
      <c r="M54" s="15">
        <f t="shared" si="6"/>
        <v>688.65</v>
      </c>
      <c r="N54" s="21">
        <f t="shared" si="7"/>
        <v>27.509999999999991</v>
      </c>
    </row>
    <row r="55" spans="1:14" ht="12.75">
      <c r="A55" s="35"/>
      <c r="B55" s="36">
        <v>45803.666666666672</v>
      </c>
      <c r="C55" s="19"/>
      <c r="D55" s="19">
        <v>137.12</v>
      </c>
      <c r="E55" s="19">
        <v>137.36000000000001</v>
      </c>
      <c r="F55" s="19">
        <v>136.46</v>
      </c>
      <c r="G55" s="33">
        <v>136.72999999999999</v>
      </c>
      <c r="K55" s="34">
        <v>5</v>
      </c>
      <c r="L55" s="20">
        <v>661.14</v>
      </c>
      <c r="M55" s="15">
        <f t="shared" si="6"/>
        <v>683.65</v>
      </c>
      <c r="N55" s="21">
        <f t="shared" si="7"/>
        <v>22.509999999999991</v>
      </c>
    </row>
    <row r="56" spans="1:14" ht="12.75">
      <c r="A56" s="35"/>
      <c r="B56" s="36">
        <v>45804.666666666672</v>
      </c>
      <c r="C56" s="19"/>
      <c r="D56" s="19">
        <v>137.61000000000001</v>
      </c>
      <c r="E56" s="19">
        <v>138</v>
      </c>
      <c r="F56" s="19">
        <v>137.33000000000001</v>
      </c>
      <c r="G56" s="33">
        <v>137.76</v>
      </c>
      <c r="K56" s="34">
        <v>5</v>
      </c>
      <c r="L56" s="20">
        <v>661.14</v>
      </c>
      <c r="M56" s="15">
        <f t="shared" si="6"/>
        <v>688.8</v>
      </c>
      <c r="N56" s="21">
        <f t="shared" si="7"/>
        <v>27.659999999999968</v>
      </c>
    </row>
    <row r="57" spans="1:14" ht="12.75">
      <c r="A57" s="35"/>
      <c r="B57" s="36">
        <v>45805.666666666672</v>
      </c>
      <c r="C57" s="19"/>
      <c r="D57" s="19">
        <v>139.41999999999999</v>
      </c>
      <c r="E57" s="19">
        <v>139.79</v>
      </c>
      <c r="F57" s="19">
        <v>139.18</v>
      </c>
      <c r="G57" s="33">
        <v>139.41</v>
      </c>
      <c r="K57" s="34">
        <v>5</v>
      </c>
      <c r="L57" s="20">
        <v>661.14</v>
      </c>
      <c r="M57" s="15">
        <f t="shared" si="6"/>
        <v>697.05</v>
      </c>
      <c r="N57" s="21">
        <f t="shared" si="7"/>
        <v>35.909999999999968</v>
      </c>
    </row>
    <row r="58" spans="1:14" ht="12.75">
      <c r="A58" s="35"/>
      <c r="B58" s="36">
        <v>45806.666666666672</v>
      </c>
      <c r="C58" s="19"/>
      <c r="D58" s="19">
        <v>140.78</v>
      </c>
      <c r="E58" s="19">
        <v>141.30000000000001</v>
      </c>
      <c r="F58" s="19">
        <v>140.41999999999999</v>
      </c>
      <c r="G58" s="33">
        <v>140.9</v>
      </c>
      <c r="K58" s="34">
        <v>5</v>
      </c>
      <c r="L58" s="20">
        <v>661.14</v>
      </c>
      <c r="M58" s="15">
        <f t="shared" si="6"/>
        <v>704.5</v>
      </c>
      <c r="N58" s="21">
        <f t="shared" si="7"/>
        <v>43.360000000000014</v>
      </c>
    </row>
    <row r="59" spans="1:14" ht="12.75">
      <c r="A59" s="35"/>
      <c r="B59" s="36">
        <v>45807.666666666672</v>
      </c>
      <c r="C59" s="19"/>
      <c r="D59" s="19">
        <v>138.83000000000001</v>
      </c>
      <c r="E59" s="19">
        <v>139.41</v>
      </c>
      <c r="F59" s="19">
        <v>138.65</v>
      </c>
      <c r="G59" s="33">
        <v>139.41</v>
      </c>
      <c r="K59" s="34">
        <v>5</v>
      </c>
      <c r="L59" s="20">
        <v>661.14</v>
      </c>
      <c r="M59" s="15">
        <f t="shared" si="6"/>
        <v>697.05</v>
      </c>
      <c r="N59" s="21">
        <f t="shared" si="7"/>
        <v>35.909999999999968</v>
      </c>
    </row>
    <row r="60" spans="1:14" ht="12.75">
      <c r="A60" s="35"/>
      <c r="B60" s="36">
        <v>45810.666666666672</v>
      </c>
      <c r="C60" s="19"/>
      <c r="D60" s="19">
        <v>138.82</v>
      </c>
      <c r="E60" s="19">
        <v>138.85</v>
      </c>
      <c r="F60" s="19">
        <v>138.16999999999999</v>
      </c>
      <c r="G60" s="33">
        <v>138.24</v>
      </c>
      <c r="K60" s="34">
        <v>5</v>
      </c>
      <c r="L60" s="20">
        <v>661.14</v>
      </c>
      <c r="M60" s="15">
        <f t="shared" si="6"/>
        <v>691.2</v>
      </c>
      <c r="N60" s="21">
        <f t="shared" si="7"/>
        <v>30.060000000000059</v>
      </c>
    </row>
    <row r="61" spans="1:14" ht="12.75">
      <c r="A61" s="35"/>
      <c r="B61" s="36">
        <v>45811.666666666672</v>
      </c>
      <c r="C61" s="19"/>
      <c r="D61" s="19">
        <v>138.56</v>
      </c>
      <c r="E61" s="19">
        <v>139.22</v>
      </c>
      <c r="F61" s="19">
        <v>138.56</v>
      </c>
      <c r="G61" s="33">
        <v>139.18</v>
      </c>
      <c r="K61" s="34">
        <v>5</v>
      </c>
      <c r="L61" s="20">
        <v>661.14</v>
      </c>
      <c r="M61" s="15">
        <f t="shared" si="6"/>
        <v>695.90000000000009</v>
      </c>
      <c r="N61" s="21">
        <f t="shared" si="7"/>
        <v>34.760000000000105</v>
      </c>
    </row>
    <row r="62" spans="1:14" ht="12.75">
      <c r="A62" s="35"/>
      <c r="B62" s="36">
        <v>45812.666666666672</v>
      </c>
      <c r="C62" s="19"/>
      <c r="D62" s="19">
        <v>139.94999999999999</v>
      </c>
      <c r="E62" s="19">
        <v>140.22</v>
      </c>
      <c r="F62" s="19">
        <v>139.54</v>
      </c>
      <c r="G62" s="33">
        <v>140.11000000000001</v>
      </c>
      <c r="K62" s="34">
        <v>5</v>
      </c>
      <c r="L62" s="20">
        <v>661.14</v>
      </c>
      <c r="M62" s="15">
        <f t="shared" si="6"/>
        <v>700.55000000000007</v>
      </c>
      <c r="N62" s="21">
        <f t="shared" si="7"/>
        <v>39.410000000000082</v>
      </c>
    </row>
    <row r="63" spans="1:14" ht="12.75">
      <c r="A63" s="35"/>
      <c r="B63" s="36">
        <v>45813.666666666672</v>
      </c>
      <c r="C63" s="19"/>
      <c r="D63" s="19">
        <v>139.62</v>
      </c>
      <c r="E63" s="19">
        <v>139.62</v>
      </c>
      <c r="F63" s="19">
        <v>139.19999999999999</v>
      </c>
      <c r="G63" s="33">
        <v>139.38999999999999</v>
      </c>
      <c r="K63" s="34">
        <v>5</v>
      </c>
      <c r="L63" s="20">
        <v>661.14</v>
      </c>
      <c r="M63" s="15">
        <f t="shared" si="6"/>
        <v>696.94999999999993</v>
      </c>
      <c r="N63" s="21">
        <f t="shared" si="7"/>
        <v>35.809999999999945</v>
      </c>
    </row>
    <row r="64" spans="1:14" ht="12.75">
      <c r="A64" s="37"/>
      <c r="B64" s="38"/>
      <c r="C64" s="32"/>
      <c r="D64" s="32"/>
      <c r="E64" s="32"/>
      <c r="F64" s="32"/>
      <c r="G64" s="25"/>
      <c r="H64" s="25"/>
      <c r="I64" s="26"/>
      <c r="J64" s="26"/>
      <c r="K64" s="26"/>
      <c r="L64" s="25"/>
      <c r="M64" s="25"/>
      <c r="N64" s="27"/>
    </row>
    <row r="65" spans="1:14" ht="12.75">
      <c r="A65" s="8" t="s">
        <v>18</v>
      </c>
      <c r="B65" s="39">
        <v>45814.666666666672</v>
      </c>
      <c r="C65" s="40" t="s">
        <v>23</v>
      </c>
      <c r="D65" s="11">
        <v>138.93</v>
      </c>
      <c r="E65" s="11">
        <v>139.38</v>
      </c>
      <c r="F65" s="11">
        <v>138.66</v>
      </c>
      <c r="G65" s="12">
        <v>139.29</v>
      </c>
      <c r="H65" s="12"/>
      <c r="I65" s="13">
        <v>1</v>
      </c>
      <c r="J65" s="13">
        <v>139.1</v>
      </c>
      <c r="K65" s="20">
        <f t="shared" ref="K65:L65" si="8">K40+I65</f>
        <v>6</v>
      </c>
      <c r="L65" s="15">
        <f t="shared" si="8"/>
        <v>800.24000000000012</v>
      </c>
      <c r="M65" s="15">
        <f t="shared" ref="M65:M69" si="9">K65*G65</f>
        <v>835.74</v>
      </c>
      <c r="N65" s="21">
        <f t="shared" ref="N65:N69" si="10">M65-L65</f>
        <v>35.499999999999886</v>
      </c>
    </row>
    <row r="66" spans="1:14" ht="12.75">
      <c r="A66" s="41"/>
      <c r="B66" s="36">
        <v>45818.666666666672</v>
      </c>
      <c r="C66" s="34" t="s">
        <v>20</v>
      </c>
      <c r="D66" s="36"/>
      <c r="E66" s="36"/>
      <c r="F66" s="36"/>
      <c r="G66" s="19">
        <v>139.85</v>
      </c>
      <c r="K66" s="20">
        <v>6</v>
      </c>
      <c r="L66" s="20">
        <v>800.24</v>
      </c>
      <c r="M66" s="15">
        <f t="shared" si="9"/>
        <v>839.09999999999991</v>
      </c>
      <c r="N66" s="21">
        <f t="shared" si="10"/>
        <v>38.8599999999999</v>
      </c>
    </row>
    <row r="67" spans="1:14" ht="12.75">
      <c r="A67" s="41"/>
      <c r="B67" s="36">
        <v>45819.666666666672</v>
      </c>
      <c r="C67" s="34" t="s">
        <v>21</v>
      </c>
      <c r="D67" s="36"/>
      <c r="E67" s="36"/>
      <c r="F67" s="36"/>
      <c r="G67" s="19">
        <v>139.84</v>
      </c>
      <c r="K67" s="20">
        <v>6</v>
      </c>
      <c r="L67" s="20">
        <v>800.24</v>
      </c>
      <c r="M67" s="15">
        <f t="shared" si="9"/>
        <v>839.04</v>
      </c>
      <c r="N67" s="21">
        <f t="shared" si="10"/>
        <v>38.799999999999955</v>
      </c>
    </row>
    <row r="68" spans="1:14" ht="12.75">
      <c r="A68" s="41"/>
      <c r="B68" s="36">
        <v>45820.666666666672</v>
      </c>
      <c r="C68" s="34" t="s">
        <v>22</v>
      </c>
      <c r="D68" s="36"/>
      <c r="E68" s="36"/>
      <c r="F68" s="36"/>
      <c r="G68" s="19">
        <v>140.1</v>
      </c>
      <c r="K68" s="20">
        <v>6</v>
      </c>
      <c r="L68" s="20">
        <v>800.24</v>
      </c>
      <c r="M68" s="15">
        <f t="shared" si="9"/>
        <v>840.59999999999991</v>
      </c>
      <c r="N68" s="21">
        <f t="shared" si="10"/>
        <v>40.3599999999999</v>
      </c>
    </row>
    <row r="69" spans="1:14" ht="12.75">
      <c r="A69" s="41"/>
      <c r="B69" s="36">
        <v>45821.666666666672</v>
      </c>
      <c r="C69" s="34" t="s">
        <v>23</v>
      </c>
      <c r="D69" s="36"/>
      <c r="E69" s="36"/>
      <c r="F69" s="36"/>
      <c r="G69" s="19">
        <v>139.44999999999999</v>
      </c>
      <c r="K69" s="20">
        <v>6</v>
      </c>
      <c r="L69" s="20">
        <v>800.24</v>
      </c>
      <c r="M69" s="15">
        <f t="shared" si="9"/>
        <v>836.69999999999993</v>
      </c>
      <c r="N69" s="21">
        <f t="shared" si="10"/>
        <v>36.459999999999923</v>
      </c>
    </row>
    <row r="70" spans="1:14" ht="12.75">
      <c r="A70" s="42"/>
      <c r="B70" s="38"/>
      <c r="C70" s="38"/>
      <c r="D70" s="38"/>
      <c r="E70" s="38"/>
      <c r="F70" s="38"/>
      <c r="G70" s="32"/>
      <c r="H70" s="25"/>
      <c r="I70" s="25"/>
      <c r="J70" s="25"/>
      <c r="K70" s="26"/>
      <c r="L70" s="26"/>
      <c r="M70" s="25"/>
      <c r="N70" s="27"/>
    </row>
    <row r="71" spans="1:14" ht="12.75">
      <c r="A71" s="41"/>
      <c r="B71" s="36">
        <v>45824.666666666672</v>
      </c>
      <c r="C71" s="34" t="s">
        <v>19</v>
      </c>
      <c r="D71" s="36"/>
      <c r="E71" s="36"/>
      <c r="F71" s="36"/>
      <c r="G71" s="19">
        <v>139.83000000000001</v>
      </c>
      <c r="K71" s="20">
        <v>6</v>
      </c>
      <c r="L71" s="20">
        <v>800.24</v>
      </c>
      <c r="M71" s="15">
        <f t="shared" ref="M71:M75" si="11">K71*G71</f>
        <v>838.98</v>
      </c>
      <c r="N71" s="21">
        <f t="shared" ref="N71:N75" si="12">M71-L71</f>
        <v>38.740000000000009</v>
      </c>
    </row>
    <row r="72" spans="1:14" ht="12.75">
      <c r="A72" s="41"/>
      <c r="B72" s="36">
        <v>45825.666666666672</v>
      </c>
      <c r="C72" s="34" t="s">
        <v>20</v>
      </c>
      <c r="D72" s="36"/>
      <c r="E72" s="36"/>
      <c r="F72" s="36"/>
      <c r="G72" s="19">
        <v>139.43</v>
      </c>
      <c r="K72" s="20">
        <v>6</v>
      </c>
      <c r="L72" s="20">
        <v>800.24</v>
      </c>
      <c r="M72" s="15">
        <f t="shared" si="11"/>
        <v>836.58</v>
      </c>
      <c r="N72" s="21">
        <f t="shared" si="12"/>
        <v>36.340000000000032</v>
      </c>
    </row>
    <row r="73" spans="1:14" ht="12.75">
      <c r="A73" s="41"/>
      <c r="B73" s="36">
        <v>45826.666666666672</v>
      </c>
      <c r="C73" s="34" t="s">
        <v>21</v>
      </c>
      <c r="D73" s="36"/>
      <c r="E73" s="36"/>
      <c r="F73" s="36"/>
      <c r="G73" s="19">
        <v>139.51</v>
      </c>
      <c r="K73" s="20">
        <v>6</v>
      </c>
      <c r="L73" s="20">
        <v>800.24</v>
      </c>
      <c r="M73" s="15">
        <f t="shared" si="11"/>
        <v>837.06</v>
      </c>
      <c r="N73" s="21">
        <f t="shared" si="12"/>
        <v>36.819999999999936</v>
      </c>
    </row>
    <row r="74" spans="1:14" ht="12.75">
      <c r="A74" s="41"/>
      <c r="B74" s="36">
        <v>45827.666666666672</v>
      </c>
      <c r="C74" s="34" t="s">
        <v>22</v>
      </c>
      <c r="D74" s="36"/>
      <c r="E74" s="36"/>
      <c r="F74" s="36"/>
      <c r="G74" s="19">
        <v>139.54</v>
      </c>
      <c r="K74" s="20">
        <v>6</v>
      </c>
      <c r="L74" s="20">
        <v>800.24</v>
      </c>
      <c r="M74" s="15">
        <f t="shared" si="11"/>
        <v>837.24</v>
      </c>
      <c r="N74" s="21">
        <f t="shared" si="12"/>
        <v>37</v>
      </c>
    </row>
    <row r="75" spans="1:14" ht="12.75">
      <c r="A75" s="41"/>
      <c r="B75" s="36">
        <v>45828.666666666672</v>
      </c>
      <c r="C75" s="34" t="s">
        <v>23</v>
      </c>
      <c r="D75" s="36"/>
      <c r="E75" s="36"/>
      <c r="F75" s="36"/>
      <c r="G75" s="19">
        <v>139.4</v>
      </c>
      <c r="K75" s="20">
        <v>6</v>
      </c>
      <c r="L75" s="20">
        <v>800.24</v>
      </c>
      <c r="M75" s="15">
        <f t="shared" si="11"/>
        <v>836.40000000000009</v>
      </c>
      <c r="N75" s="21">
        <f t="shared" si="12"/>
        <v>36.160000000000082</v>
      </c>
    </row>
    <row r="76" spans="1:14" ht="12.75">
      <c r="A76" s="42"/>
      <c r="B76" s="38"/>
      <c r="C76" s="38"/>
      <c r="D76" s="38"/>
      <c r="E76" s="38"/>
      <c r="F76" s="38"/>
      <c r="G76" s="32"/>
      <c r="H76" s="25"/>
      <c r="I76" s="25"/>
      <c r="J76" s="25"/>
      <c r="K76" s="26"/>
      <c r="L76" s="26"/>
      <c r="M76" s="25"/>
      <c r="N76" s="27"/>
    </row>
    <row r="77" spans="1:14" ht="12.75">
      <c r="A77" s="41"/>
      <c r="B77" s="36">
        <v>45831.666666666672</v>
      </c>
      <c r="C77" s="34" t="s">
        <v>19</v>
      </c>
      <c r="D77" s="19">
        <v>139.35</v>
      </c>
      <c r="E77" s="19">
        <v>140.44</v>
      </c>
      <c r="F77" s="19">
        <v>139.26</v>
      </c>
      <c r="G77" s="19">
        <v>140.24</v>
      </c>
      <c r="K77" s="20">
        <v>6</v>
      </c>
      <c r="L77" s="20">
        <v>800.24</v>
      </c>
      <c r="M77" s="15">
        <f t="shared" ref="M77:M81" si="13">K77*G77</f>
        <v>841.44</v>
      </c>
      <c r="N77" s="21">
        <f t="shared" ref="N77:N81" si="14">M77-L77</f>
        <v>41.200000000000045</v>
      </c>
    </row>
    <row r="78" spans="1:14" ht="12.75">
      <c r="A78" s="41"/>
      <c r="B78" s="36">
        <v>45832.666666666672</v>
      </c>
      <c r="C78" s="34" t="s">
        <v>20</v>
      </c>
      <c r="D78" s="19">
        <v>140.99</v>
      </c>
      <c r="E78" s="19">
        <v>141.47999999999999</v>
      </c>
      <c r="F78" s="19">
        <v>140.76</v>
      </c>
      <c r="G78" s="19">
        <v>141.18</v>
      </c>
      <c r="K78" s="20">
        <v>6</v>
      </c>
      <c r="L78" s="20">
        <v>800.24</v>
      </c>
      <c r="M78" s="15">
        <f t="shared" si="13"/>
        <v>847.08</v>
      </c>
      <c r="N78" s="21">
        <f t="shared" si="14"/>
        <v>46.840000000000032</v>
      </c>
    </row>
    <row r="79" spans="1:14" ht="12.75">
      <c r="A79" s="41"/>
      <c r="B79" s="36">
        <v>45833.666666666672</v>
      </c>
      <c r="C79" s="34" t="s">
        <v>21</v>
      </c>
      <c r="D79" s="19">
        <v>141.69999999999999</v>
      </c>
      <c r="E79" s="19">
        <v>141.83000000000001</v>
      </c>
      <c r="F79" s="19">
        <v>141.36000000000001</v>
      </c>
      <c r="G79" s="19">
        <v>141.66999999999999</v>
      </c>
      <c r="K79" s="20">
        <v>6</v>
      </c>
      <c r="L79" s="20">
        <v>800.24</v>
      </c>
      <c r="M79" s="15">
        <f t="shared" si="13"/>
        <v>850.02</v>
      </c>
      <c r="N79" s="21">
        <f t="shared" si="14"/>
        <v>49.779999999999973</v>
      </c>
    </row>
    <row r="80" spans="1:14" ht="12.75">
      <c r="A80" s="41"/>
      <c r="B80" s="36">
        <v>45834</v>
      </c>
      <c r="C80" s="34" t="s">
        <v>22</v>
      </c>
      <c r="D80" s="19">
        <v>141.19999999999999</v>
      </c>
      <c r="E80" s="19">
        <v>141.4</v>
      </c>
      <c r="F80" s="19">
        <v>140.85</v>
      </c>
      <c r="G80" s="19">
        <v>141.34</v>
      </c>
      <c r="K80" s="20">
        <v>6</v>
      </c>
      <c r="L80" s="20">
        <v>800.24</v>
      </c>
      <c r="M80" s="15">
        <f t="shared" si="13"/>
        <v>848.04</v>
      </c>
      <c r="N80" s="21">
        <f t="shared" si="14"/>
        <v>47.799999999999955</v>
      </c>
    </row>
    <row r="81" spans="1:14" ht="12.75">
      <c r="A81" s="41"/>
      <c r="B81" s="36">
        <v>45835</v>
      </c>
      <c r="C81" s="34" t="s">
        <v>23</v>
      </c>
      <c r="D81" s="19">
        <v>141.6</v>
      </c>
      <c r="E81" s="19">
        <v>141.99</v>
      </c>
      <c r="F81" s="19">
        <v>141.52000000000001</v>
      </c>
      <c r="G81" s="19">
        <v>141.94999999999999</v>
      </c>
      <c r="K81" s="20">
        <v>6</v>
      </c>
      <c r="L81" s="20">
        <v>800.24</v>
      </c>
      <c r="M81" s="15">
        <f t="shared" si="13"/>
        <v>851.69999999999993</v>
      </c>
      <c r="N81" s="21">
        <f t="shared" si="14"/>
        <v>51.459999999999923</v>
      </c>
    </row>
    <row r="82" spans="1:14" ht="12.75">
      <c r="A82" s="42"/>
      <c r="B82" s="25"/>
      <c r="C82" s="43" t="s">
        <v>24</v>
      </c>
      <c r="D82" s="44"/>
      <c r="E82" s="45" t="s">
        <v>25</v>
      </c>
      <c r="F82" s="46">
        <f>MIN(F77:F81)</f>
        <v>139.26</v>
      </c>
      <c r="G82" s="25"/>
      <c r="H82" s="25"/>
      <c r="I82" s="25"/>
      <c r="J82" s="25"/>
      <c r="K82" s="25"/>
      <c r="L82" s="25"/>
      <c r="M82" s="25"/>
      <c r="N82" s="27"/>
    </row>
    <row r="83" spans="1:14" ht="12.75">
      <c r="A83" s="41"/>
      <c r="B83" s="36">
        <v>45845.666666666672</v>
      </c>
      <c r="C83" s="34" t="s">
        <v>19</v>
      </c>
      <c r="D83" s="19">
        <v>142.47999999999999</v>
      </c>
      <c r="E83" s="19">
        <v>143.36000000000001</v>
      </c>
      <c r="F83" s="19">
        <v>142.44999999999999</v>
      </c>
      <c r="G83" s="19">
        <v>143.22999999999999</v>
      </c>
      <c r="K83" s="20">
        <v>6</v>
      </c>
      <c r="L83" s="20">
        <v>800.24</v>
      </c>
      <c r="M83" s="15">
        <f t="shared" ref="M83:M87" si="15">K83*G83</f>
        <v>859.37999999999988</v>
      </c>
      <c r="N83" s="21">
        <f t="shared" ref="N83:N87" si="16">M83-L83</f>
        <v>59.139999999999873</v>
      </c>
    </row>
    <row r="84" spans="1:14" ht="12.75">
      <c r="A84" s="41"/>
      <c r="B84" s="36">
        <v>45846.666666666672</v>
      </c>
      <c r="C84" s="34" t="s">
        <v>20</v>
      </c>
      <c r="D84" s="19">
        <v>142.83000000000001</v>
      </c>
      <c r="E84" s="19">
        <v>142.97999999999999</v>
      </c>
      <c r="F84" s="19">
        <v>141.87</v>
      </c>
      <c r="G84" s="19">
        <v>142.4</v>
      </c>
      <c r="K84" s="20">
        <v>6</v>
      </c>
      <c r="L84" s="20">
        <v>800.24</v>
      </c>
      <c r="M84" s="15">
        <f t="shared" si="15"/>
        <v>854.40000000000009</v>
      </c>
      <c r="N84" s="21">
        <f t="shared" si="16"/>
        <v>54.160000000000082</v>
      </c>
    </row>
    <row r="85" spans="1:14" ht="12.75">
      <c r="A85" s="41"/>
      <c r="B85" s="36">
        <v>45847.666666666672</v>
      </c>
      <c r="C85" s="34" t="s">
        <v>21</v>
      </c>
      <c r="D85" s="19">
        <v>142.6</v>
      </c>
      <c r="E85" s="19">
        <v>142.84</v>
      </c>
      <c r="F85" s="19">
        <v>141.94999999999999</v>
      </c>
      <c r="G85" s="19">
        <v>142.16</v>
      </c>
      <c r="K85" s="20">
        <v>6</v>
      </c>
      <c r="L85" s="20">
        <v>800.24</v>
      </c>
      <c r="M85" s="15">
        <f t="shared" si="15"/>
        <v>852.96</v>
      </c>
      <c r="N85" s="21">
        <f t="shared" si="16"/>
        <v>52.720000000000027</v>
      </c>
    </row>
    <row r="86" spans="1:14" ht="12.75">
      <c r="A86" s="41"/>
      <c r="B86" s="36">
        <v>45848.666666666672</v>
      </c>
      <c r="C86" s="34" t="s">
        <v>22</v>
      </c>
      <c r="D86" s="19">
        <v>143.05000000000001</v>
      </c>
      <c r="E86" s="19">
        <v>143.16</v>
      </c>
      <c r="F86" s="19">
        <v>142.52000000000001</v>
      </c>
      <c r="G86" s="19">
        <v>142.53</v>
      </c>
      <c r="K86" s="20">
        <v>6</v>
      </c>
      <c r="L86" s="20">
        <v>800.24</v>
      </c>
      <c r="M86" s="15">
        <f t="shared" si="15"/>
        <v>855.18000000000006</v>
      </c>
      <c r="N86" s="21">
        <f t="shared" si="16"/>
        <v>54.940000000000055</v>
      </c>
    </row>
    <row r="87" spans="1:14" ht="12.75">
      <c r="A87" s="41"/>
      <c r="B87" s="36">
        <v>45849.666666666672</v>
      </c>
      <c r="C87" s="34" t="s">
        <v>23</v>
      </c>
      <c r="D87" s="19">
        <v>142.47</v>
      </c>
      <c r="E87" s="19">
        <v>142.47</v>
      </c>
      <c r="F87" s="19">
        <v>141.72</v>
      </c>
      <c r="G87" s="19">
        <v>141.97</v>
      </c>
      <c r="K87" s="20">
        <v>6</v>
      </c>
      <c r="L87" s="20">
        <v>800.24</v>
      </c>
      <c r="M87" s="15">
        <f t="shared" si="15"/>
        <v>851.81999999999994</v>
      </c>
      <c r="N87" s="21">
        <f t="shared" si="16"/>
        <v>51.579999999999927</v>
      </c>
    </row>
    <row r="88" spans="1:14" ht="12.75">
      <c r="A88" s="42"/>
      <c r="B88" s="25"/>
      <c r="C88" s="47" t="s">
        <v>24</v>
      </c>
      <c r="D88" s="48"/>
      <c r="E88" s="49" t="s">
        <v>25</v>
      </c>
      <c r="F88" s="46">
        <f>MIN(F83:F87)</f>
        <v>141.72</v>
      </c>
      <c r="G88" s="25"/>
      <c r="H88" s="25"/>
      <c r="I88" s="25"/>
      <c r="J88" s="25"/>
      <c r="K88" s="25"/>
      <c r="L88" s="25"/>
      <c r="M88" s="25"/>
      <c r="N88" s="27"/>
    </row>
    <row r="89" spans="1:14" ht="15.75" customHeight="1">
      <c r="A89" s="41"/>
      <c r="B89" s="17">
        <v>45859</v>
      </c>
      <c r="C89" s="34" t="s">
        <v>19</v>
      </c>
      <c r="D89" s="18">
        <v>144.25</v>
      </c>
      <c r="E89" s="18">
        <v>144.25</v>
      </c>
      <c r="F89" s="18">
        <v>143.85</v>
      </c>
      <c r="K89" s="20">
        <v>6</v>
      </c>
      <c r="L89" s="20">
        <v>800.24</v>
      </c>
      <c r="M89" s="15">
        <f t="shared" ref="M89:M93" si="17">K89*G89</f>
        <v>0</v>
      </c>
      <c r="N89" s="21">
        <f t="shared" ref="N89:N93" si="18">M89-L89</f>
        <v>-800.24</v>
      </c>
    </row>
    <row r="90" spans="1:14" ht="15.75" customHeight="1">
      <c r="A90" s="41"/>
      <c r="B90" s="17">
        <v>45860</v>
      </c>
      <c r="C90" s="34" t="s">
        <v>20</v>
      </c>
      <c r="D90" s="18">
        <v>144</v>
      </c>
      <c r="E90" s="18">
        <v>144.19999999999999</v>
      </c>
      <c r="F90" s="18">
        <v>143.74</v>
      </c>
      <c r="K90" s="20">
        <v>6</v>
      </c>
      <c r="L90" s="20">
        <v>800.24</v>
      </c>
      <c r="M90" s="15">
        <f t="shared" si="17"/>
        <v>0</v>
      </c>
      <c r="N90" s="21">
        <f t="shared" si="18"/>
        <v>-800.24</v>
      </c>
    </row>
    <row r="91" spans="1:14" ht="15.75" customHeight="1">
      <c r="A91" s="41"/>
      <c r="B91" s="17">
        <v>45861</v>
      </c>
      <c r="C91" s="34" t="s">
        <v>21</v>
      </c>
      <c r="D91" s="18">
        <v>143.94999999999999</v>
      </c>
      <c r="E91" s="18">
        <v>144.03</v>
      </c>
      <c r="F91" s="18">
        <v>143.65</v>
      </c>
      <c r="K91" s="20">
        <v>6</v>
      </c>
      <c r="L91" s="20">
        <v>800.24</v>
      </c>
      <c r="M91" s="15">
        <f t="shared" si="17"/>
        <v>0</v>
      </c>
      <c r="N91" s="21">
        <f t="shared" si="18"/>
        <v>-800.24</v>
      </c>
    </row>
    <row r="92" spans="1:14" ht="15.75" customHeight="1">
      <c r="A92" s="41"/>
      <c r="B92" s="17">
        <v>45862</v>
      </c>
      <c r="C92" s="34" t="s">
        <v>22</v>
      </c>
      <c r="D92" s="18">
        <v>144.26</v>
      </c>
      <c r="E92" s="18">
        <v>144.38999999999999</v>
      </c>
      <c r="F92" s="18">
        <v>143.79</v>
      </c>
      <c r="K92" s="20">
        <v>6</v>
      </c>
      <c r="L92" s="20">
        <v>800.24</v>
      </c>
      <c r="M92" s="15">
        <f t="shared" si="17"/>
        <v>0</v>
      </c>
      <c r="N92" s="21">
        <f t="shared" si="18"/>
        <v>-800.24</v>
      </c>
    </row>
    <row r="93" spans="1:14" ht="15.75" customHeight="1">
      <c r="A93" s="41"/>
      <c r="B93" s="17">
        <v>45863</v>
      </c>
      <c r="C93" s="34" t="s">
        <v>23</v>
      </c>
      <c r="D93" s="18">
        <v>144.43</v>
      </c>
      <c r="E93" s="18">
        <v>144.85</v>
      </c>
      <c r="F93" s="18">
        <v>144.16999999999999</v>
      </c>
      <c r="K93" s="20">
        <v>6</v>
      </c>
      <c r="L93" s="20">
        <v>800.24</v>
      </c>
      <c r="M93" s="15">
        <f t="shared" si="17"/>
        <v>0</v>
      </c>
      <c r="N93" s="21">
        <f t="shared" si="18"/>
        <v>-800.24</v>
      </c>
    </row>
    <row r="94" spans="1:14" ht="12.75">
      <c r="A94" s="42"/>
      <c r="B94" s="25"/>
      <c r="C94" s="25"/>
      <c r="D94" s="25"/>
      <c r="E94" s="25"/>
      <c r="F94" s="44">
        <f>MIN(F89:F93)</f>
        <v>143.65</v>
      </c>
      <c r="G94" s="25"/>
      <c r="H94" s="25"/>
      <c r="I94" s="25"/>
      <c r="J94" s="25"/>
      <c r="K94" s="25"/>
      <c r="L94" s="25"/>
      <c r="M94" s="25"/>
      <c r="N94" s="27"/>
    </row>
    <row r="95" spans="1:14" ht="12.75">
      <c r="A95" s="41"/>
      <c r="B95" s="36">
        <v>45873.666666666672</v>
      </c>
      <c r="C95" s="34" t="s">
        <v>19</v>
      </c>
      <c r="D95" s="19">
        <v>145.1</v>
      </c>
      <c r="E95" s="19">
        <v>145.1</v>
      </c>
      <c r="F95" s="19">
        <v>143.19999999999999</v>
      </c>
      <c r="G95" s="19">
        <v>143.53</v>
      </c>
      <c r="K95" s="20">
        <v>6</v>
      </c>
      <c r="L95" s="20">
        <v>800.24</v>
      </c>
      <c r="M95" s="15">
        <f t="shared" ref="M95:M99" si="19">K95*G95</f>
        <v>861.18000000000006</v>
      </c>
      <c r="N95" s="21">
        <f t="shared" ref="N95:N99" si="20">M95-L95</f>
        <v>60.940000000000055</v>
      </c>
    </row>
    <row r="96" spans="1:14" ht="12.75">
      <c r="A96" s="41"/>
      <c r="B96" s="36">
        <v>45874.666666666672</v>
      </c>
      <c r="C96" s="34" t="s">
        <v>20</v>
      </c>
      <c r="D96" s="19">
        <v>145.30000000000001</v>
      </c>
      <c r="E96" s="19">
        <v>145.82</v>
      </c>
      <c r="F96" s="19">
        <v>145.22999999999999</v>
      </c>
      <c r="G96" s="19">
        <v>145.69</v>
      </c>
      <c r="K96" s="20">
        <v>6</v>
      </c>
      <c r="L96" s="20">
        <v>800.24</v>
      </c>
      <c r="M96" s="15">
        <f t="shared" si="19"/>
        <v>874.14</v>
      </c>
      <c r="N96" s="21">
        <f t="shared" si="20"/>
        <v>73.899999999999977</v>
      </c>
    </row>
    <row r="97" spans="1:14" ht="12.75">
      <c r="A97" s="41"/>
      <c r="B97" s="36">
        <v>45875.666666666672</v>
      </c>
      <c r="C97" s="34" t="s">
        <v>21</v>
      </c>
      <c r="D97" s="19">
        <v>144.61000000000001</v>
      </c>
      <c r="E97" s="19">
        <v>145.1</v>
      </c>
      <c r="F97" s="19">
        <v>144.5</v>
      </c>
      <c r="G97" s="19">
        <v>145</v>
      </c>
      <c r="K97" s="20">
        <v>6</v>
      </c>
      <c r="L97" s="20">
        <v>800.24</v>
      </c>
      <c r="M97" s="15">
        <f t="shared" si="19"/>
        <v>870</v>
      </c>
      <c r="N97" s="21">
        <f t="shared" si="20"/>
        <v>69.759999999999991</v>
      </c>
    </row>
    <row r="98" spans="1:14" ht="12.75">
      <c r="A98" s="41"/>
      <c r="B98" s="36">
        <v>45876.666666666672</v>
      </c>
      <c r="C98" s="34" t="s">
        <v>22</v>
      </c>
      <c r="D98" s="19">
        <v>145.34</v>
      </c>
      <c r="E98" s="19">
        <v>145.62</v>
      </c>
      <c r="F98" s="19">
        <v>145.16</v>
      </c>
      <c r="G98" s="19">
        <v>145.25</v>
      </c>
      <c r="K98" s="20">
        <v>6</v>
      </c>
      <c r="L98" s="20">
        <v>800.24</v>
      </c>
      <c r="M98" s="15">
        <f t="shared" si="19"/>
        <v>871.5</v>
      </c>
      <c r="N98" s="21">
        <f t="shared" si="20"/>
        <v>71.259999999999991</v>
      </c>
    </row>
    <row r="99" spans="1:14" ht="12.75">
      <c r="A99" s="41"/>
      <c r="B99" s="36">
        <v>45877.666666666672</v>
      </c>
      <c r="C99" s="34" t="s">
        <v>23</v>
      </c>
      <c r="D99" s="19">
        <v>145.4</v>
      </c>
      <c r="E99" s="19">
        <v>145.72999999999999</v>
      </c>
      <c r="F99" s="19">
        <v>145.21</v>
      </c>
      <c r="G99" s="19">
        <v>145.22999999999999</v>
      </c>
      <c r="K99" s="20">
        <v>6</v>
      </c>
      <c r="L99" s="20">
        <v>800.24</v>
      </c>
      <c r="M99" s="15">
        <f t="shared" si="19"/>
        <v>871.37999999999988</v>
      </c>
      <c r="N99" s="21">
        <f t="shared" si="20"/>
        <v>71.139999999999873</v>
      </c>
    </row>
    <row r="100" spans="1:14" ht="12.75">
      <c r="A100" s="42"/>
      <c r="B100" s="25"/>
      <c r="C100" s="25"/>
      <c r="D100" s="25"/>
      <c r="E100" s="25"/>
      <c r="F100" s="46">
        <f>MIN(F95:F99)</f>
        <v>143.19999999999999</v>
      </c>
      <c r="G100" s="25"/>
      <c r="H100" s="25"/>
      <c r="I100" s="25"/>
      <c r="J100" s="25"/>
      <c r="K100" s="26"/>
      <c r="L100" s="26"/>
      <c r="M100" s="25"/>
      <c r="N100" s="27"/>
    </row>
    <row r="101" spans="1:14" ht="12.75">
      <c r="A101" s="41"/>
      <c r="B101" s="36">
        <v>45880.666666666672</v>
      </c>
      <c r="C101" s="34" t="s">
        <v>19</v>
      </c>
      <c r="D101" s="19">
        <v>145.97</v>
      </c>
      <c r="E101" s="19">
        <v>146.49</v>
      </c>
      <c r="F101" s="19">
        <v>145.96</v>
      </c>
      <c r="G101" s="19">
        <v>146.16999999999999</v>
      </c>
      <c r="K101" s="20">
        <v>6</v>
      </c>
      <c r="L101" s="20">
        <v>800.24</v>
      </c>
      <c r="M101" s="15">
        <f t="shared" ref="M101:M105" si="21">K101*G101</f>
        <v>877.02</v>
      </c>
      <c r="N101" s="21">
        <f t="shared" ref="N101:N105" si="22">M101-L101</f>
        <v>76.779999999999973</v>
      </c>
    </row>
    <row r="102" spans="1:14" ht="12.75">
      <c r="A102" s="41"/>
      <c r="B102" s="36">
        <v>45881.666666666672</v>
      </c>
      <c r="C102" s="34" t="s">
        <v>20</v>
      </c>
      <c r="D102" s="19">
        <v>145.94</v>
      </c>
      <c r="E102" s="19">
        <v>146.38999999999999</v>
      </c>
      <c r="F102" s="19">
        <v>145.72</v>
      </c>
      <c r="G102" s="19">
        <v>146.31</v>
      </c>
      <c r="K102" s="20">
        <v>6</v>
      </c>
      <c r="L102" s="20">
        <v>800.24</v>
      </c>
      <c r="M102" s="15">
        <f t="shared" si="21"/>
        <v>877.86</v>
      </c>
      <c r="N102" s="21">
        <f t="shared" si="22"/>
        <v>77.62</v>
      </c>
    </row>
    <row r="103" spans="1:14" ht="12.75">
      <c r="A103" s="41"/>
      <c r="B103" s="36">
        <v>45882.666666666672</v>
      </c>
      <c r="C103" s="34" t="s">
        <v>21</v>
      </c>
      <c r="D103" s="19">
        <v>146.97999999999999</v>
      </c>
      <c r="E103" s="19">
        <v>147.25</v>
      </c>
      <c r="F103" s="19">
        <v>146.96</v>
      </c>
      <c r="G103" s="19">
        <v>146.97999999999999</v>
      </c>
      <c r="K103" s="20">
        <v>6</v>
      </c>
      <c r="L103" s="20">
        <v>800.24</v>
      </c>
      <c r="M103" s="15">
        <f t="shared" si="21"/>
        <v>881.87999999999988</v>
      </c>
      <c r="N103" s="21">
        <f t="shared" si="22"/>
        <v>81.639999999999873</v>
      </c>
    </row>
    <row r="104" spans="1:14" ht="12.75">
      <c r="A104" s="41"/>
      <c r="B104" s="36">
        <v>45883.666666666672</v>
      </c>
      <c r="C104" s="34" t="s">
        <v>22</v>
      </c>
      <c r="D104" s="19">
        <v>147.19</v>
      </c>
      <c r="E104" s="19">
        <v>147.21</v>
      </c>
      <c r="F104" s="19">
        <v>146.66</v>
      </c>
      <c r="G104" s="19">
        <v>146.94</v>
      </c>
      <c r="K104" s="20">
        <v>6</v>
      </c>
      <c r="L104" s="20">
        <v>800.24</v>
      </c>
      <c r="M104" s="15">
        <f t="shared" si="21"/>
        <v>881.64</v>
      </c>
      <c r="N104" s="21">
        <f t="shared" si="22"/>
        <v>81.399999999999977</v>
      </c>
    </row>
    <row r="105" spans="1:14" ht="12.75">
      <c r="A105" s="41"/>
      <c r="B105" s="36">
        <v>45884.666666666672</v>
      </c>
      <c r="C105" s="34" t="s">
        <v>23</v>
      </c>
      <c r="D105" s="19">
        <v>148.16</v>
      </c>
      <c r="E105" s="19">
        <v>148.80000000000001</v>
      </c>
      <c r="F105" s="19">
        <v>148.16</v>
      </c>
      <c r="G105" s="19">
        <v>148.59</v>
      </c>
      <c r="K105" s="20">
        <v>6</v>
      </c>
      <c r="L105" s="20">
        <v>800.24</v>
      </c>
      <c r="M105" s="15">
        <f t="shared" si="21"/>
        <v>891.54</v>
      </c>
      <c r="N105" s="21">
        <f t="shared" si="22"/>
        <v>91.299999999999955</v>
      </c>
    </row>
    <row r="106" spans="1:14" ht="12.75">
      <c r="A106" s="42"/>
      <c r="B106" s="25"/>
      <c r="C106" s="25"/>
      <c r="D106" s="25"/>
      <c r="E106" s="25"/>
      <c r="F106" s="46">
        <f>MIN(F101:F105)</f>
        <v>145.72</v>
      </c>
      <c r="G106" s="25"/>
      <c r="H106" s="25"/>
      <c r="I106" s="25"/>
      <c r="J106" s="25"/>
      <c r="K106" s="25"/>
      <c r="L106" s="25"/>
      <c r="M106" s="25"/>
      <c r="N106" s="27"/>
    </row>
    <row r="107" spans="1:14" ht="12.75">
      <c r="A107" s="41"/>
      <c r="B107" s="36">
        <v>45887.666666666672</v>
      </c>
      <c r="C107" s="34" t="s">
        <v>19</v>
      </c>
      <c r="D107" s="19">
        <v>148.15</v>
      </c>
      <c r="E107" s="19">
        <v>148.36000000000001</v>
      </c>
      <c r="F107" s="19">
        <v>147.88</v>
      </c>
      <c r="G107" s="19">
        <v>147.99</v>
      </c>
      <c r="K107" s="34">
        <v>6</v>
      </c>
      <c r="L107" s="20">
        <v>800.24</v>
      </c>
      <c r="M107" s="15">
        <f t="shared" ref="M107:M111" si="23">K107*G107</f>
        <v>887.94</v>
      </c>
      <c r="N107" s="21">
        <f t="shared" ref="N107:N111" si="24">M107-L107</f>
        <v>87.700000000000045</v>
      </c>
    </row>
    <row r="108" spans="1:14" ht="12.75">
      <c r="A108" s="41"/>
      <c r="B108" s="36">
        <v>45888.666666666672</v>
      </c>
      <c r="C108" s="34" t="s">
        <v>20</v>
      </c>
      <c r="D108" s="19">
        <v>148.36000000000001</v>
      </c>
      <c r="E108" s="19">
        <v>148.4</v>
      </c>
      <c r="F108" s="19">
        <v>148.06</v>
      </c>
      <c r="G108" s="19">
        <v>148.29</v>
      </c>
      <c r="K108" s="34">
        <v>6</v>
      </c>
      <c r="L108" s="20">
        <v>800.24</v>
      </c>
      <c r="M108" s="15">
        <f t="shared" si="23"/>
        <v>889.74</v>
      </c>
      <c r="N108" s="21">
        <f t="shared" si="24"/>
        <v>89.5</v>
      </c>
    </row>
    <row r="109" spans="1:14" ht="12.75">
      <c r="A109" s="41"/>
      <c r="B109" s="36">
        <v>45889.666666666672</v>
      </c>
      <c r="C109" s="34" t="s">
        <v>21</v>
      </c>
      <c r="D109" s="19">
        <v>148.41999999999999</v>
      </c>
      <c r="E109" s="19">
        <v>148.72999999999999</v>
      </c>
      <c r="F109" s="19">
        <v>148.21</v>
      </c>
      <c r="G109" s="19">
        <v>148.44</v>
      </c>
      <c r="K109" s="34">
        <v>6</v>
      </c>
      <c r="L109" s="20">
        <v>800.24</v>
      </c>
      <c r="M109" s="15">
        <f t="shared" si="23"/>
        <v>890.64</v>
      </c>
      <c r="N109" s="21">
        <f t="shared" si="24"/>
        <v>90.399999999999977</v>
      </c>
    </row>
    <row r="110" spans="1:14" ht="12.75">
      <c r="A110" s="41"/>
      <c r="B110" s="36">
        <v>45890.666666666672</v>
      </c>
      <c r="C110" s="34" t="s">
        <v>22</v>
      </c>
      <c r="D110" s="19">
        <v>148.80000000000001</v>
      </c>
      <c r="E110" s="19">
        <v>149.19999999999999</v>
      </c>
      <c r="F110" s="19">
        <v>148.61000000000001</v>
      </c>
      <c r="G110" s="19">
        <v>148.97999999999999</v>
      </c>
      <c r="K110" s="34">
        <v>6</v>
      </c>
      <c r="L110" s="20">
        <v>800.24</v>
      </c>
      <c r="M110" s="15">
        <f t="shared" si="23"/>
        <v>893.87999999999988</v>
      </c>
      <c r="N110" s="21">
        <f t="shared" si="24"/>
        <v>93.639999999999873</v>
      </c>
    </row>
    <row r="111" spans="1:14" ht="12.75">
      <c r="A111" s="50" t="s">
        <v>18</v>
      </c>
      <c r="B111" s="39">
        <v>45891.666666666672</v>
      </c>
      <c r="C111" s="13" t="s">
        <v>23</v>
      </c>
      <c r="D111" s="11">
        <v>148.71</v>
      </c>
      <c r="E111" s="11">
        <v>148.93</v>
      </c>
      <c r="F111" s="11">
        <v>148.31</v>
      </c>
      <c r="G111" s="11">
        <v>148.43</v>
      </c>
      <c r="H111" s="12"/>
      <c r="I111" s="13">
        <v>1</v>
      </c>
      <c r="J111" s="13">
        <v>148.47999999999999</v>
      </c>
      <c r="K111" s="13">
        <v>7</v>
      </c>
      <c r="L111" s="12">
        <f>L110+J111</f>
        <v>948.72</v>
      </c>
      <c r="M111" s="12">
        <f t="shared" si="23"/>
        <v>1039.01</v>
      </c>
      <c r="N111" s="14">
        <f t="shared" si="24"/>
        <v>90.289999999999964</v>
      </c>
    </row>
    <row r="112" spans="1:14" ht="12.75">
      <c r="A112" s="42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7"/>
    </row>
    <row r="113" spans="1:14" ht="12.75">
      <c r="A113" s="50" t="s">
        <v>18</v>
      </c>
      <c r="B113" s="9">
        <v>45919</v>
      </c>
      <c r="C113" s="12"/>
      <c r="D113" s="12"/>
      <c r="E113" s="12"/>
      <c r="F113" s="12"/>
      <c r="G113" s="12"/>
      <c r="H113" s="12"/>
      <c r="I113" s="13">
        <v>1</v>
      </c>
      <c r="J113" s="13">
        <v>149.76</v>
      </c>
      <c r="K113" s="13">
        <v>8</v>
      </c>
      <c r="L113" s="12">
        <f>L111+J113</f>
        <v>1098.48</v>
      </c>
      <c r="M113" s="12"/>
      <c r="N113" s="14"/>
    </row>
    <row r="114" spans="1:14" ht="12.75">
      <c r="A114" s="42"/>
      <c r="B114" s="38"/>
      <c r="C114" s="26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51"/>
    </row>
    <row r="115" spans="1:14" ht="12.75">
      <c r="A115" s="50" t="s">
        <v>18</v>
      </c>
      <c r="B115" s="39">
        <v>45950.666666666672</v>
      </c>
      <c r="C115" s="13" t="s">
        <v>19</v>
      </c>
      <c r="D115" s="11">
        <v>152.94</v>
      </c>
      <c r="E115" s="11">
        <v>153.30000000000001</v>
      </c>
      <c r="F115" s="11">
        <v>152.6</v>
      </c>
      <c r="G115" s="11">
        <v>153.30000000000001</v>
      </c>
      <c r="H115" s="12"/>
      <c r="I115" s="13">
        <v>1</v>
      </c>
      <c r="J115" s="13">
        <v>153.22</v>
      </c>
      <c r="K115" s="13">
        <v>9</v>
      </c>
      <c r="L115" s="12">
        <f>L113+J115</f>
        <v>1251.7</v>
      </c>
      <c r="M115" s="12">
        <f t="shared" ref="M115:M119" si="25">K115*G115</f>
        <v>1379.7</v>
      </c>
      <c r="N115" s="14">
        <f t="shared" ref="N115:N119" si="26">M115-L115</f>
        <v>128</v>
      </c>
    </row>
    <row r="116" spans="1:14" ht="12.75">
      <c r="A116" s="41"/>
      <c r="B116" s="36">
        <v>45951.666666666672</v>
      </c>
      <c r="C116" s="34" t="s">
        <v>20</v>
      </c>
      <c r="D116" s="19">
        <v>153.99</v>
      </c>
      <c r="E116" s="19">
        <v>154.38999999999999</v>
      </c>
      <c r="F116" s="19">
        <v>153.97</v>
      </c>
      <c r="G116" s="19">
        <v>154.31</v>
      </c>
      <c r="K116" s="34">
        <v>9</v>
      </c>
      <c r="L116" s="34">
        <v>1251.7</v>
      </c>
      <c r="M116" s="15">
        <f t="shared" si="25"/>
        <v>1388.79</v>
      </c>
      <c r="N116" s="21">
        <f t="shared" si="26"/>
        <v>137.08999999999992</v>
      </c>
    </row>
    <row r="117" spans="1:14" ht="12.75">
      <c r="A117" s="41"/>
      <c r="B117" s="36">
        <v>45952.666666666672</v>
      </c>
      <c r="C117" s="34" t="s">
        <v>21</v>
      </c>
      <c r="D117" s="19">
        <v>154.62</v>
      </c>
      <c r="E117" s="19">
        <v>154.62</v>
      </c>
      <c r="F117" s="19">
        <v>154.12</v>
      </c>
      <c r="G117" s="19">
        <v>154.35</v>
      </c>
      <c r="K117" s="34">
        <v>9</v>
      </c>
      <c r="L117" s="34">
        <v>1251.7</v>
      </c>
      <c r="M117" s="15">
        <f t="shared" si="25"/>
        <v>1389.1499999999999</v>
      </c>
      <c r="N117" s="21">
        <f t="shared" si="26"/>
        <v>137.44999999999982</v>
      </c>
    </row>
    <row r="118" spans="1:14" ht="12.75">
      <c r="A118" s="41"/>
      <c r="B118" s="36">
        <v>45953.666666666672</v>
      </c>
      <c r="C118" s="34" t="s">
        <v>22</v>
      </c>
      <c r="D118" s="19">
        <v>153.94</v>
      </c>
      <c r="E118" s="19">
        <v>154.03</v>
      </c>
      <c r="F118" s="19">
        <v>153.4</v>
      </c>
      <c r="G118" s="19">
        <v>153.80000000000001</v>
      </c>
      <c r="K118" s="34">
        <v>9</v>
      </c>
      <c r="L118" s="34">
        <v>1251.7</v>
      </c>
      <c r="M118" s="15">
        <f t="shared" si="25"/>
        <v>1384.2</v>
      </c>
      <c r="N118" s="21">
        <f t="shared" si="26"/>
        <v>132.5</v>
      </c>
    </row>
    <row r="119" spans="1:14" ht="12.75">
      <c r="A119" s="41"/>
      <c r="B119" s="36">
        <v>45954.666666666672</v>
      </c>
      <c r="C119" s="34" t="s">
        <v>23</v>
      </c>
      <c r="D119" s="19">
        <v>154.1</v>
      </c>
      <c r="E119" s="19">
        <v>154.57</v>
      </c>
      <c r="F119" s="19">
        <v>154</v>
      </c>
      <c r="G119" s="19">
        <v>154.44999999999999</v>
      </c>
      <c r="K119" s="34">
        <v>9</v>
      </c>
      <c r="L119" s="34">
        <v>1251.7</v>
      </c>
      <c r="M119" s="15">
        <f t="shared" si="25"/>
        <v>1390.05</v>
      </c>
      <c r="N119" s="21">
        <f t="shared" si="26"/>
        <v>138.34999999999991</v>
      </c>
    </row>
    <row r="120" spans="1:14" ht="12.75">
      <c r="A120" s="42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7"/>
    </row>
    <row r="121" spans="1:14" ht="12.75">
      <c r="A121" s="41"/>
      <c r="B121" s="36">
        <v>45971.666666666672</v>
      </c>
      <c r="C121" s="52" t="s">
        <v>19</v>
      </c>
      <c r="D121" s="19">
        <v>154.57</v>
      </c>
      <c r="E121" s="19">
        <v>154.80000000000001</v>
      </c>
      <c r="F121" s="19">
        <v>154.01</v>
      </c>
      <c r="G121" s="19">
        <v>154.16</v>
      </c>
      <c r="K121" s="34">
        <v>9</v>
      </c>
      <c r="L121" s="34">
        <v>1251.7</v>
      </c>
      <c r="M121" s="15">
        <f t="shared" ref="M121:M125" si="27">K121*G121</f>
        <v>1387.44</v>
      </c>
      <c r="N121" s="21">
        <f t="shared" ref="N121:N125" si="28">M121-L121</f>
        <v>135.74</v>
      </c>
    </row>
    <row r="122" spans="1:14" ht="12.75">
      <c r="A122" s="41"/>
      <c r="B122" s="36">
        <v>45972.666666666672</v>
      </c>
      <c r="C122" s="34" t="s">
        <v>20</v>
      </c>
      <c r="D122" s="19">
        <v>155</v>
      </c>
      <c r="E122" s="19">
        <v>155.44999999999999</v>
      </c>
      <c r="F122" s="19">
        <v>155</v>
      </c>
      <c r="G122" s="19">
        <v>155.31</v>
      </c>
      <c r="K122" s="34">
        <v>9</v>
      </c>
      <c r="L122" s="34">
        <v>1251.7</v>
      </c>
      <c r="M122" s="15">
        <f t="shared" si="27"/>
        <v>1397.79</v>
      </c>
      <c r="N122" s="21">
        <f t="shared" si="28"/>
        <v>146.08999999999992</v>
      </c>
    </row>
    <row r="123" spans="1:14" ht="12.75">
      <c r="A123" s="41"/>
      <c r="B123" s="36">
        <v>45973.666666666672</v>
      </c>
      <c r="C123" s="34" t="s">
        <v>21</v>
      </c>
      <c r="D123" s="19">
        <v>155.5</v>
      </c>
      <c r="E123" s="19">
        <v>156.35</v>
      </c>
      <c r="F123" s="19">
        <v>155.5</v>
      </c>
      <c r="G123" s="19">
        <v>156.19999999999999</v>
      </c>
      <c r="K123" s="34">
        <v>9</v>
      </c>
      <c r="L123" s="34">
        <v>1251.7</v>
      </c>
      <c r="M123" s="15">
        <f t="shared" si="27"/>
        <v>1405.8</v>
      </c>
      <c r="N123" s="21">
        <f t="shared" si="28"/>
        <v>154.09999999999991</v>
      </c>
    </row>
    <row r="124" spans="1:14" ht="12.75">
      <c r="A124" s="41"/>
      <c r="B124" s="36">
        <v>45974.666666666672</v>
      </c>
      <c r="C124" s="34" t="s">
        <v>22</v>
      </c>
      <c r="D124" s="19">
        <v>156.19999999999999</v>
      </c>
      <c r="E124" s="19">
        <v>156.19999999999999</v>
      </c>
      <c r="F124" s="19">
        <v>155.21</v>
      </c>
      <c r="G124" s="19">
        <v>155.88</v>
      </c>
      <c r="K124" s="34">
        <v>9</v>
      </c>
      <c r="L124" s="34">
        <v>1251.7</v>
      </c>
      <c r="M124" s="15">
        <f t="shared" si="27"/>
        <v>1402.92</v>
      </c>
      <c r="N124" s="21">
        <f t="shared" si="28"/>
        <v>151.22000000000003</v>
      </c>
    </row>
    <row r="125" spans="1:14" ht="12.75">
      <c r="A125" s="50" t="s">
        <v>18</v>
      </c>
      <c r="B125" s="39">
        <v>45975.666666666672</v>
      </c>
      <c r="C125" s="13" t="s">
        <v>23</v>
      </c>
      <c r="D125" s="11">
        <v>155</v>
      </c>
      <c r="E125" s="11">
        <v>155</v>
      </c>
      <c r="F125" s="11">
        <v>153.68</v>
      </c>
      <c r="G125" s="11">
        <v>153.80000000000001</v>
      </c>
      <c r="H125" s="12"/>
      <c r="I125" s="13">
        <v>1</v>
      </c>
      <c r="J125" s="13">
        <v>153.80000000000001</v>
      </c>
      <c r="K125" s="13">
        <v>10</v>
      </c>
      <c r="L125" s="12">
        <f>L124+J125</f>
        <v>1405.5</v>
      </c>
      <c r="M125" s="12">
        <f t="shared" si="27"/>
        <v>1538</v>
      </c>
      <c r="N125" s="14">
        <f t="shared" si="28"/>
        <v>132.5</v>
      </c>
    </row>
    <row r="126" spans="1:14" ht="12.75">
      <c r="A126" s="42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7"/>
    </row>
    <row r="127" spans="1:14" ht="12.75">
      <c r="A127" s="50" t="s">
        <v>18</v>
      </c>
      <c r="B127" s="53">
        <v>46020</v>
      </c>
      <c r="C127" s="13" t="s">
        <v>19</v>
      </c>
      <c r="D127" s="11">
        <v>154.31</v>
      </c>
      <c r="E127" s="11">
        <v>154.44</v>
      </c>
      <c r="F127" s="11">
        <v>153.86000000000001</v>
      </c>
      <c r="G127" s="11">
        <v>153.96</v>
      </c>
      <c r="H127" s="12"/>
      <c r="I127" s="13">
        <v>1</v>
      </c>
      <c r="J127" s="13">
        <v>153.91999999999999</v>
      </c>
      <c r="K127" s="13">
        <v>11</v>
      </c>
      <c r="L127" s="12">
        <f>L125+J127</f>
        <v>1559.42</v>
      </c>
      <c r="M127" s="15">
        <f t="shared" ref="M127:M129" si="29">K127*G127</f>
        <v>1693.5600000000002</v>
      </c>
      <c r="N127" s="21">
        <f t="shared" ref="N127:N129" si="30">M127-L127</f>
        <v>134.1400000000001</v>
      </c>
    </row>
    <row r="128" spans="1:14" ht="12.75">
      <c r="A128" s="41"/>
      <c r="B128" s="54">
        <v>46021</v>
      </c>
      <c r="C128" s="52" t="s">
        <v>20</v>
      </c>
      <c r="D128" s="19">
        <v>154.4</v>
      </c>
      <c r="E128" s="19">
        <v>154.44999999999999</v>
      </c>
      <c r="F128" s="19">
        <v>153.82</v>
      </c>
      <c r="G128" s="19">
        <v>153.87</v>
      </c>
      <c r="K128" s="34">
        <v>11</v>
      </c>
      <c r="L128" s="52">
        <v>1559.42</v>
      </c>
      <c r="M128" s="15">
        <f t="shared" si="29"/>
        <v>1692.5700000000002</v>
      </c>
      <c r="N128" s="21">
        <f t="shared" si="30"/>
        <v>133.15000000000009</v>
      </c>
    </row>
    <row r="129" spans="1:14" ht="12.75">
      <c r="A129" s="41"/>
      <c r="B129" s="54">
        <v>46022</v>
      </c>
      <c r="C129" s="52" t="s">
        <v>21</v>
      </c>
      <c r="D129" s="19">
        <v>154.01</v>
      </c>
      <c r="E129" s="19">
        <v>154.38999999999999</v>
      </c>
      <c r="F129" s="19">
        <v>153.68</v>
      </c>
      <c r="G129" s="19">
        <v>153.85</v>
      </c>
      <c r="K129" s="34">
        <v>11</v>
      </c>
      <c r="L129" s="52">
        <v>1559.42</v>
      </c>
      <c r="M129" s="15">
        <f t="shared" si="29"/>
        <v>1692.35</v>
      </c>
      <c r="N129" s="21">
        <f t="shared" si="30"/>
        <v>132.92999999999984</v>
      </c>
    </row>
    <row r="130" spans="1:14" ht="12.75">
      <c r="A130" s="41"/>
      <c r="B130" s="54">
        <v>46023</v>
      </c>
      <c r="C130" s="52" t="s">
        <v>22</v>
      </c>
      <c r="D130" s="55" t="s">
        <v>26</v>
      </c>
      <c r="E130" s="55" t="s">
        <v>26</v>
      </c>
      <c r="F130" s="55" t="s">
        <v>26</v>
      </c>
      <c r="G130" s="55" t="s">
        <v>26</v>
      </c>
      <c r="H130" s="55" t="s">
        <v>26</v>
      </c>
      <c r="I130" s="55" t="s">
        <v>26</v>
      </c>
      <c r="J130" s="55" t="s">
        <v>26</v>
      </c>
      <c r="K130" s="55" t="s">
        <v>26</v>
      </c>
      <c r="L130" s="55" t="s">
        <v>26</v>
      </c>
      <c r="M130" s="55" t="s">
        <v>26</v>
      </c>
      <c r="N130" s="56" t="s">
        <v>26</v>
      </c>
    </row>
    <row r="131" spans="1:14" ht="12.75">
      <c r="A131" s="57"/>
      <c r="B131" s="54">
        <v>46024</v>
      </c>
      <c r="C131" s="20" t="s">
        <v>23</v>
      </c>
      <c r="D131" s="19">
        <v>153.30000000000001</v>
      </c>
      <c r="E131" s="19">
        <v>153.69</v>
      </c>
      <c r="F131" s="19">
        <v>153.04</v>
      </c>
      <c r="G131" s="19">
        <v>153.21</v>
      </c>
      <c r="H131" s="15"/>
      <c r="I131" s="20"/>
      <c r="J131" s="15"/>
      <c r="K131" s="34">
        <v>11</v>
      </c>
      <c r="L131" s="52">
        <v>1559.42</v>
      </c>
      <c r="M131" s="15">
        <f>K131*G131</f>
        <v>1685.3100000000002</v>
      </c>
      <c r="N131" s="21">
        <f>M131-L131</f>
        <v>125.8900000000001</v>
      </c>
    </row>
    <row r="132" spans="1:14" ht="12.75">
      <c r="A132" s="42"/>
      <c r="B132" s="25"/>
      <c r="C132" s="26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7"/>
    </row>
    <row r="133" spans="1:14" ht="12.75">
      <c r="A133" s="41"/>
      <c r="B133" s="34" t="s">
        <v>19</v>
      </c>
      <c r="C133" s="36">
        <v>46027.666666666672</v>
      </c>
      <c r="D133" s="19">
        <v>153.30000000000001</v>
      </c>
      <c r="E133" s="19">
        <v>154.04</v>
      </c>
      <c r="F133" s="19">
        <v>153.24</v>
      </c>
      <c r="G133" s="19">
        <v>154</v>
      </c>
      <c r="K133" s="34">
        <v>11</v>
      </c>
      <c r="L133" s="52">
        <v>1559.42</v>
      </c>
      <c r="M133" s="15">
        <f t="shared" ref="M133:M137" si="31">K133*G133</f>
        <v>1694</v>
      </c>
      <c r="N133" s="21">
        <f t="shared" ref="N133:N137" si="32">M133-L133</f>
        <v>134.57999999999993</v>
      </c>
    </row>
    <row r="134" spans="1:14" ht="12.75">
      <c r="A134" s="41"/>
      <c r="B134" s="34" t="s">
        <v>20</v>
      </c>
      <c r="C134" s="36">
        <v>46028.666666666672</v>
      </c>
      <c r="D134" s="19">
        <v>154.07</v>
      </c>
      <c r="E134" s="19">
        <v>154.25</v>
      </c>
      <c r="F134" s="19">
        <v>153.88999999999999</v>
      </c>
      <c r="G134" s="19">
        <v>154</v>
      </c>
      <c r="K134" s="34">
        <v>11</v>
      </c>
      <c r="L134" s="52">
        <v>1559.42</v>
      </c>
      <c r="M134" s="15">
        <f t="shared" si="31"/>
        <v>1694</v>
      </c>
      <c r="N134" s="21">
        <f t="shared" si="32"/>
        <v>134.57999999999993</v>
      </c>
    </row>
    <row r="135" spans="1:14" ht="12.75">
      <c r="A135" s="41"/>
      <c r="B135" s="34" t="s">
        <v>21</v>
      </c>
      <c r="C135" s="36">
        <v>46029.666666666672</v>
      </c>
      <c r="D135" s="19">
        <v>154.34</v>
      </c>
      <c r="E135" s="19">
        <v>154.79</v>
      </c>
      <c r="F135" s="19">
        <v>153.6</v>
      </c>
      <c r="G135" s="19">
        <v>153.74</v>
      </c>
      <c r="K135" s="34">
        <v>11</v>
      </c>
      <c r="L135" s="52">
        <v>1559.42</v>
      </c>
      <c r="M135" s="15">
        <f t="shared" si="31"/>
        <v>1691.14</v>
      </c>
      <c r="N135" s="21">
        <f t="shared" si="32"/>
        <v>131.72000000000003</v>
      </c>
    </row>
    <row r="136" spans="1:14" ht="12.75">
      <c r="A136" s="41"/>
      <c r="B136" s="34" t="s">
        <v>22</v>
      </c>
      <c r="C136" s="36">
        <v>46030.666666666672</v>
      </c>
      <c r="D136" s="19">
        <v>154.12</v>
      </c>
      <c r="E136" s="19">
        <v>154.32</v>
      </c>
      <c r="F136" s="19">
        <v>153.97</v>
      </c>
      <c r="G136" s="19">
        <v>154.26</v>
      </c>
      <c r="K136" s="34">
        <v>11</v>
      </c>
      <c r="L136" s="52">
        <v>1559.42</v>
      </c>
      <c r="M136" s="15">
        <f t="shared" si="31"/>
        <v>1696.86</v>
      </c>
      <c r="N136" s="21">
        <f t="shared" si="32"/>
        <v>137.43999999999983</v>
      </c>
    </row>
    <row r="137" spans="1:14" ht="12.75">
      <c r="A137" s="41"/>
      <c r="B137" s="34" t="s">
        <v>23</v>
      </c>
      <c r="C137" s="36">
        <v>46031.666666666672</v>
      </c>
      <c r="D137" s="19">
        <v>154.69</v>
      </c>
      <c r="E137" s="19">
        <v>154.80000000000001</v>
      </c>
      <c r="F137" s="19">
        <v>154.47999999999999</v>
      </c>
      <c r="G137" s="19">
        <v>154.59</v>
      </c>
      <c r="K137" s="34">
        <v>11</v>
      </c>
      <c r="L137" s="52">
        <v>1559.42</v>
      </c>
      <c r="M137" s="15">
        <f t="shared" si="31"/>
        <v>1700.49</v>
      </c>
      <c r="N137" s="21">
        <f t="shared" si="32"/>
        <v>141.06999999999994</v>
      </c>
    </row>
    <row r="138" spans="1:14" ht="12.75">
      <c r="A138" s="42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7"/>
    </row>
    <row r="139" spans="1:14" ht="12.75">
      <c r="A139" s="41"/>
      <c r="B139" s="34" t="s">
        <v>19</v>
      </c>
      <c r="C139" s="36">
        <v>46041.666666666672</v>
      </c>
      <c r="D139" s="19">
        <v>155.86000000000001</v>
      </c>
      <c r="E139" s="19">
        <v>155.86000000000001</v>
      </c>
      <c r="F139" s="19">
        <v>154.38999999999999</v>
      </c>
      <c r="G139" s="19">
        <v>154.43</v>
      </c>
      <c r="K139" s="34">
        <v>11</v>
      </c>
      <c r="L139" s="52">
        <v>1559.42</v>
      </c>
      <c r="M139" s="15">
        <f t="shared" ref="M139:M143" si="33">K139*G139</f>
        <v>1698.73</v>
      </c>
      <c r="N139" s="21">
        <f t="shared" ref="N139:N143" si="34">M139-L139</f>
        <v>139.30999999999995</v>
      </c>
    </row>
    <row r="140" spans="1:14" ht="12.75">
      <c r="A140" s="41"/>
      <c r="B140" s="34" t="s">
        <v>20</v>
      </c>
      <c r="C140" s="36">
        <v>46042.666666666672</v>
      </c>
      <c r="D140" s="19">
        <v>154.28</v>
      </c>
      <c r="E140" s="19">
        <v>154.34</v>
      </c>
      <c r="F140" s="19">
        <v>153.07</v>
      </c>
      <c r="G140" s="19">
        <v>153.1</v>
      </c>
      <c r="K140" s="34">
        <v>11</v>
      </c>
      <c r="L140" s="52">
        <v>1559.42</v>
      </c>
      <c r="M140" s="15">
        <f t="shared" si="33"/>
        <v>1684.1</v>
      </c>
      <c r="N140" s="21">
        <f t="shared" si="34"/>
        <v>124.67999999999984</v>
      </c>
    </row>
    <row r="141" spans="1:14" ht="12.75">
      <c r="A141" s="41"/>
      <c r="B141" s="34" t="s">
        <v>21</v>
      </c>
      <c r="C141" s="36">
        <v>46043.666666666672</v>
      </c>
      <c r="D141" s="19">
        <v>152.6</v>
      </c>
      <c r="E141" s="19">
        <v>152.80000000000001</v>
      </c>
      <c r="F141" s="19">
        <v>151.80000000000001</v>
      </c>
      <c r="G141" s="19">
        <v>152.19</v>
      </c>
      <c r="K141" s="34">
        <v>11</v>
      </c>
      <c r="L141" s="52">
        <v>1559.42</v>
      </c>
      <c r="M141" s="15">
        <f t="shared" si="33"/>
        <v>1674.09</v>
      </c>
      <c r="N141" s="21">
        <f t="shared" si="34"/>
        <v>114.66999999999985</v>
      </c>
    </row>
    <row r="142" spans="1:14" ht="12.75">
      <c r="A142" s="41"/>
      <c r="B142" s="34" t="s">
        <v>22</v>
      </c>
      <c r="C142" s="36">
        <v>46044.666666666672</v>
      </c>
      <c r="D142" s="19">
        <v>153</v>
      </c>
      <c r="E142" s="19">
        <v>153.30000000000001</v>
      </c>
      <c r="F142" s="19">
        <v>152.11000000000001</v>
      </c>
      <c r="G142" s="19">
        <v>152.19</v>
      </c>
      <c r="K142" s="34">
        <v>11</v>
      </c>
      <c r="L142" s="52">
        <v>1559.42</v>
      </c>
      <c r="M142" s="15">
        <f t="shared" si="33"/>
        <v>1674.09</v>
      </c>
      <c r="N142" s="21">
        <f t="shared" si="34"/>
        <v>114.66999999999985</v>
      </c>
    </row>
    <row r="143" spans="1:14" ht="12.75">
      <c r="A143" s="58"/>
      <c r="B143" s="13" t="s">
        <v>23</v>
      </c>
      <c r="C143" s="39">
        <v>46045.666666666672</v>
      </c>
      <c r="D143" s="11">
        <v>152.01</v>
      </c>
      <c r="E143" s="11">
        <v>152.13999999999999</v>
      </c>
      <c r="F143" s="11">
        <v>151.57</v>
      </c>
      <c r="G143" s="11">
        <v>151.74</v>
      </c>
      <c r="H143" s="12"/>
      <c r="I143" s="13">
        <v>1</v>
      </c>
      <c r="J143" s="13">
        <v>151.97</v>
      </c>
      <c r="K143" s="12">
        <f t="shared" ref="K143:L143" si="35">K137+I143</f>
        <v>12</v>
      </c>
      <c r="L143" s="12">
        <f t="shared" si="35"/>
        <v>1711.39</v>
      </c>
      <c r="M143" s="12">
        <f t="shared" si="33"/>
        <v>1820.88</v>
      </c>
      <c r="N143" s="14">
        <f t="shared" si="34"/>
        <v>109.49000000000001</v>
      </c>
    </row>
    <row r="144" spans="1:14" ht="12.75">
      <c r="A144" s="42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7"/>
    </row>
    <row r="145" spans="1:14" ht="12.75">
      <c r="A145" s="41"/>
      <c r="B145" s="34" t="s">
        <v>19</v>
      </c>
      <c r="C145" s="59">
        <v>46048</v>
      </c>
      <c r="D145" s="34" t="s">
        <v>26</v>
      </c>
      <c r="E145" s="34" t="s">
        <v>26</v>
      </c>
      <c r="F145" s="34" t="s">
        <v>26</v>
      </c>
      <c r="G145" s="34" t="s">
        <v>26</v>
      </c>
      <c r="H145" s="34" t="s">
        <v>26</v>
      </c>
      <c r="I145" s="34" t="s">
        <v>26</v>
      </c>
      <c r="J145" s="34" t="s">
        <v>26</v>
      </c>
      <c r="K145" s="34" t="s">
        <v>26</v>
      </c>
      <c r="L145" s="34" t="s">
        <v>26</v>
      </c>
      <c r="M145" s="34" t="s">
        <v>26</v>
      </c>
      <c r="N145" s="34" t="s">
        <v>26</v>
      </c>
    </row>
    <row r="146" spans="1:14" ht="12.75">
      <c r="A146" s="41"/>
      <c r="B146" s="34" t="s">
        <v>20</v>
      </c>
      <c r="C146" s="36">
        <v>46049.666666666672</v>
      </c>
      <c r="D146" s="19">
        <v>151.5</v>
      </c>
      <c r="E146" s="19">
        <v>151.69</v>
      </c>
      <c r="F146" s="19">
        <v>150.91999999999999</v>
      </c>
      <c r="G146" s="19">
        <v>151.6</v>
      </c>
      <c r="K146" s="34">
        <v>12</v>
      </c>
      <c r="L146" s="34">
        <v>1711.39</v>
      </c>
      <c r="M146" s="15">
        <f t="shared" ref="M146:M149" si="36">K146*G146</f>
        <v>1819.1999999999998</v>
      </c>
      <c r="N146" s="21">
        <f t="shared" ref="N146:N149" si="37">M146-L146</f>
        <v>107.80999999999972</v>
      </c>
    </row>
    <row r="147" spans="1:14" ht="12.75">
      <c r="A147" s="41"/>
      <c r="B147" s="34" t="s">
        <v>21</v>
      </c>
      <c r="C147" s="36">
        <v>46050.666666666672</v>
      </c>
      <c r="D147" s="19">
        <v>150.47</v>
      </c>
      <c r="E147" s="19">
        <v>151</v>
      </c>
      <c r="F147" s="19">
        <v>150.1</v>
      </c>
      <c r="G147" s="19">
        <v>150.78</v>
      </c>
      <c r="K147" s="34">
        <v>12</v>
      </c>
      <c r="L147" s="34">
        <v>1711.39</v>
      </c>
      <c r="M147" s="15">
        <f t="shared" si="36"/>
        <v>1809.3600000000001</v>
      </c>
      <c r="N147" s="21">
        <f t="shared" si="37"/>
        <v>97.970000000000027</v>
      </c>
    </row>
    <row r="148" spans="1:14" ht="12.75">
      <c r="A148" s="41"/>
      <c r="B148" s="34" t="s">
        <v>22</v>
      </c>
      <c r="C148" s="36">
        <v>46051.666666666672</v>
      </c>
      <c r="D148" s="19">
        <v>150</v>
      </c>
      <c r="E148" s="19">
        <v>150.18</v>
      </c>
      <c r="F148" s="19">
        <v>148.38999999999999</v>
      </c>
      <c r="G148" s="19">
        <v>148.43</v>
      </c>
      <c r="K148" s="34">
        <v>12</v>
      </c>
      <c r="L148" s="34">
        <v>1711.39</v>
      </c>
      <c r="M148" s="15">
        <f t="shared" si="36"/>
        <v>1781.16</v>
      </c>
      <c r="N148" s="21">
        <f t="shared" si="37"/>
        <v>69.769999999999982</v>
      </c>
    </row>
    <row r="149" spans="1:14" ht="12.75">
      <c r="A149" s="41"/>
      <c r="B149" s="34" t="s">
        <v>23</v>
      </c>
      <c r="C149" s="36">
        <v>46052.666666666672</v>
      </c>
      <c r="D149" s="19">
        <v>148.75</v>
      </c>
      <c r="E149" s="19">
        <v>149.52000000000001</v>
      </c>
      <c r="F149" s="19">
        <v>148.59</v>
      </c>
      <c r="G149" s="19">
        <v>149.28</v>
      </c>
      <c r="K149" s="34">
        <v>12</v>
      </c>
      <c r="L149" s="34">
        <v>1711.39</v>
      </c>
      <c r="M149" s="15">
        <f t="shared" si="36"/>
        <v>1791.3600000000001</v>
      </c>
      <c r="N149" s="21">
        <f t="shared" si="37"/>
        <v>79.970000000000027</v>
      </c>
    </row>
    <row r="150" spans="1:14" ht="12.75">
      <c r="A150" s="42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7"/>
    </row>
    <row r="151" spans="1:14" ht="12.75">
      <c r="A151" s="41"/>
      <c r="B151" s="34" t="s">
        <v>19</v>
      </c>
      <c r="C151" s="36">
        <v>46069.666666666672</v>
      </c>
      <c r="D151" s="19">
        <v>147</v>
      </c>
      <c r="E151" s="19">
        <v>147.99</v>
      </c>
      <c r="F151" s="19">
        <v>146.79</v>
      </c>
      <c r="G151" s="19">
        <v>146.87</v>
      </c>
      <c r="K151" s="34">
        <v>12</v>
      </c>
      <c r="L151" s="34">
        <v>1711.39</v>
      </c>
      <c r="M151" s="15">
        <f t="shared" ref="M151:M155" si="38">K151*G151</f>
        <v>1762.44</v>
      </c>
      <c r="N151" s="21">
        <f t="shared" ref="N151:N155" si="39">M151-L151</f>
        <v>51.049999999999955</v>
      </c>
    </row>
    <row r="152" spans="1:14" ht="12.75">
      <c r="A152" s="41"/>
      <c r="B152" s="34" t="s">
        <v>20</v>
      </c>
      <c r="C152" s="36">
        <v>46070.666666666672</v>
      </c>
      <c r="D152" s="19">
        <v>147.01</v>
      </c>
      <c r="E152" s="19">
        <v>147.19999999999999</v>
      </c>
      <c r="F152" s="19">
        <v>146.33000000000001</v>
      </c>
      <c r="G152" s="19">
        <v>146.34</v>
      </c>
      <c r="K152" s="34">
        <v>12</v>
      </c>
      <c r="L152" s="34">
        <v>1711.39</v>
      </c>
      <c r="M152" s="15">
        <f t="shared" si="38"/>
        <v>1756.08</v>
      </c>
      <c r="N152" s="21">
        <f t="shared" si="39"/>
        <v>44.689999999999827</v>
      </c>
    </row>
    <row r="153" spans="1:14" ht="12.75">
      <c r="A153" s="41"/>
      <c r="B153" s="34" t="s">
        <v>21</v>
      </c>
      <c r="C153" s="36">
        <v>46071.666666666672</v>
      </c>
      <c r="D153" s="19">
        <v>147</v>
      </c>
      <c r="E153" s="19">
        <v>147.56</v>
      </c>
      <c r="F153" s="19">
        <v>146.78</v>
      </c>
      <c r="G153" s="19">
        <v>147.43</v>
      </c>
      <c r="K153" s="34">
        <v>12</v>
      </c>
      <c r="L153" s="34">
        <v>1711.39</v>
      </c>
      <c r="M153" s="15">
        <f t="shared" si="38"/>
        <v>1769.16</v>
      </c>
      <c r="N153" s="21">
        <f t="shared" si="39"/>
        <v>57.769999999999982</v>
      </c>
    </row>
    <row r="154" spans="1:14" ht="12.75">
      <c r="A154" s="41"/>
      <c r="B154" s="34" t="s">
        <v>22</v>
      </c>
      <c r="C154" s="36">
        <v>46072.666666666672</v>
      </c>
      <c r="D154" s="19">
        <v>148.6</v>
      </c>
      <c r="E154" s="19">
        <v>148.9</v>
      </c>
      <c r="F154" s="19">
        <v>148.12</v>
      </c>
      <c r="G154" s="19">
        <v>148.49</v>
      </c>
      <c r="K154" s="34">
        <v>12</v>
      </c>
      <c r="L154" s="34">
        <v>1711.39</v>
      </c>
      <c r="M154" s="15">
        <f t="shared" si="38"/>
        <v>1781.88</v>
      </c>
      <c r="N154" s="21">
        <f t="shared" si="39"/>
        <v>70.490000000000009</v>
      </c>
    </row>
    <row r="155" spans="1:14" ht="12.75">
      <c r="A155" s="50" t="s">
        <v>18</v>
      </c>
      <c r="B155" s="13" t="s">
        <v>23</v>
      </c>
      <c r="C155" s="39">
        <v>46073.666666666672</v>
      </c>
      <c r="D155" s="11">
        <v>147.93</v>
      </c>
      <c r="E155" s="11">
        <v>148.82</v>
      </c>
      <c r="F155" s="11">
        <v>147.6</v>
      </c>
      <c r="G155" s="11">
        <v>148.52000000000001</v>
      </c>
      <c r="H155" s="12"/>
      <c r="I155" s="13">
        <v>1</v>
      </c>
      <c r="J155" s="13">
        <v>148.59</v>
      </c>
      <c r="K155" s="13">
        <v>13</v>
      </c>
      <c r="L155" s="13">
        <f t="shared" ref="L155:L158" si="40">L154+J155</f>
        <v>1859.98</v>
      </c>
      <c r="M155" s="12">
        <f t="shared" si="38"/>
        <v>1930.7600000000002</v>
      </c>
      <c r="N155" s="14">
        <f t="shared" si="39"/>
        <v>70.7800000000002</v>
      </c>
    </row>
    <row r="156" spans="1:14" ht="12.75">
      <c r="A156" s="50" t="s">
        <v>18</v>
      </c>
      <c r="B156" s="12"/>
      <c r="C156" s="9">
        <v>46105</v>
      </c>
      <c r="D156" s="12"/>
      <c r="E156" s="12"/>
      <c r="F156" s="12"/>
      <c r="G156" s="12"/>
      <c r="H156" s="12"/>
      <c r="I156" s="13">
        <v>1</v>
      </c>
      <c r="J156" s="13">
        <v>141.09</v>
      </c>
      <c r="K156" s="13">
        <v>14</v>
      </c>
      <c r="L156" s="13">
        <f t="shared" si="40"/>
        <v>2001.07</v>
      </c>
      <c r="M156" s="12"/>
      <c r="N156" s="14"/>
    </row>
    <row r="157" spans="1:14" ht="12.75">
      <c r="A157" s="50" t="s">
        <v>18</v>
      </c>
      <c r="B157" s="12"/>
      <c r="C157" s="9">
        <v>46136</v>
      </c>
      <c r="D157" s="12"/>
      <c r="E157" s="12"/>
      <c r="F157" s="12"/>
      <c r="G157" s="12"/>
      <c r="H157" s="12"/>
      <c r="I157" s="13">
        <v>1</v>
      </c>
      <c r="J157" s="13">
        <v>149.29</v>
      </c>
      <c r="K157" s="13">
        <v>15</v>
      </c>
      <c r="L157" s="13">
        <f t="shared" si="40"/>
        <v>2150.36</v>
      </c>
      <c r="M157" s="12"/>
      <c r="N157" s="14"/>
    </row>
    <row r="158" spans="1:14" ht="12.75">
      <c r="A158" s="50" t="s">
        <v>18</v>
      </c>
      <c r="B158" s="12"/>
      <c r="C158" s="9">
        <v>46157</v>
      </c>
      <c r="D158" s="12"/>
      <c r="E158" s="12"/>
      <c r="F158" s="12"/>
      <c r="G158" s="12"/>
      <c r="H158" s="12"/>
      <c r="I158" s="13">
        <v>1</v>
      </c>
      <c r="J158" s="13">
        <v>153.91999999999999</v>
      </c>
      <c r="K158" s="13">
        <v>16</v>
      </c>
      <c r="L158" s="13">
        <f t="shared" si="40"/>
        <v>2304.2800000000002</v>
      </c>
      <c r="M158" s="12"/>
      <c r="N158" s="14"/>
    </row>
    <row r="159" spans="1:14" ht="12.75">
      <c r="A159" s="42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7"/>
    </row>
    <row r="160" spans="1:14" ht="12.75">
      <c r="A160" s="41"/>
      <c r="B160" s="34" t="s">
        <v>19</v>
      </c>
      <c r="C160" s="36">
        <v>46160.666666666672</v>
      </c>
      <c r="D160" s="19">
        <v>153.44</v>
      </c>
      <c r="E160" s="19">
        <v>153.44</v>
      </c>
      <c r="F160" s="19">
        <v>152.56</v>
      </c>
      <c r="G160" s="19">
        <v>152.61000000000001</v>
      </c>
      <c r="J160" s="34">
        <v>153.91999999999999</v>
      </c>
      <c r="K160" s="34">
        <v>16</v>
      </c>
      <c r="L160" s="34">
        <v>2304.2800000000002</v>
      </c>
      <c r="M160" s="15">
        <f t="shared" ref="M160:M164" si="41">K160*G160</f>
        <v>2441.7600000000002</v>
      </c>
      <c r="N160" s="21">
        <f t="shared" ref="N160:N164" si="42">M160-L160</f>
        <v>137.48000000000002</v>
      </c>
    </row>
    <row r="161" spans="1:19" ht="12.75">
      <c r="A161" s="41"/>
      <c r="B161" s="34" t="s">
        <v>20</v>
      </c>
      <c r="C161" s="36">
        <v>46161.666666666672</v>
      </c>
      <c r="D161" s="19">
        <v>153.18</v>
      </c>
      <c r="E161" s="19">
        <v>153.57</v>
      </c>
      <c r="F161" s="19">
        <v>153.16999999999999</v>
      </c>
      <c r="G161" s="19">
        <v>153.35</v>
      </c>
      <c r="J161" s="34">
        <v>153.91999999999999</v>
      </c>
      <c r="K161" s="34">
        <v>16</v>
      </c>
      <c r="L161" s="34">
        <v>2304.2800000000002</v>
      </c>
      <c r="M161" s="15">
        <f t="shared" si="41"/>
        <v>2453.6</v>
      </c>
      <c r="N161" s="21">
        <f t="shared" si="42"/>
        <v>149.31999999999971</v>
      </c>
    </row>
    <row r="162" spans="1:19" ht="12.75">
      <c r="A162" s="41"/>
      <c r="B162" s="34" t="s">
        <v>21</v>
      </c>
      <c r="C162" s="36">
        <v>46162.666666666672</v>
      </c>
      <c r="D162" s="19">
        <v>153.65</v>
      </c>
      <c r="E162" s="19">
        <v>153.77000000000001</v>
      </c>
      <c r="F162" s="19">
        <v>153.03</v>
      </c>
      <c r="G162" s="19">
        <v>153.49</v>
      </c>
      <c r="J162" s="34">
        <v>153.91999999999999</v>
      </c>
      <c r="K162" s="34">
        <v>16</v>
      </c>
      <c r="L162" s="34">
        <v>2304.2800000000002</v>
      </c>
      <c r="M162" s="15">
        <f t="shared" si="41"/>
        <v>2455.84</v>
      </c>
      <c r="N162" s="21">
        <f t="shared" si="42"/>
        <v>151.55999999999995</v>
      </c>
    </row>
    <row r="163" spans="1:19" ht="12.75">
      <c r="A163" s="41"/>
      <c r="B163" s="34" t="s">
        <v>22</v>
      </c>
      <c r="C163" s="36">
        <v>46163.666666666672</v>
      </c>
      <c r="D163" s="19">
        <v>153.77000000000001</v>
      </c>
      <c r="E163" s="19">
        <v>155.19999999999999</v>
      </c>
      <c r="F163" s="19">
        <v>153.77000000000001</v>
      </c>
      <c r="G163" s="19">
        <v>154.88</v>
      </c>
      <c r="J163" s="34">
        <v>153.91999999999999</v>
      </c>
      <c r="K163" s="34">
        <v>16</v>
      </c>
      <c r="L163" s="34">
        <v>2304.2800000000002</v>
      </c>
      <c r="M163" s="15">
        <f t="shared" si="41"/>
        <v>2478.08</v>
      </c>
      <c r="N163" s="21">
        <f t="shared" si="42"/>
        <v>173.79999999999973</v>
      </c>
    </row>
    <row r="164" spans="1:19" ht="12.75">
      <c r="A164" s="41"/>
      <c r="B164" s="34" t="s">
        <v>23</v>
      </c>
      <c r="C164" s="36">
        <v>46164.666666666672</v>
      </c>
      <c r="D164" s="19">
        <v>155.22</v>
      </c>
      <c r="E164" s="19">
        <v>155.71</v>
      </c>
      <c r="F164" s="19">
        <v>155.16999999999999</v>
      </c>
      <c r="G164" s="19">
        <v>155.54</v>
      </c>
      <c r="J164" s="34">
        <v>153.91999999999999</v>
      </c>
      <c r="K164" s="34">
        <v>16</v>
      </c>
      <c r="L164" s="34">
        <v>2304.2800000000002</v>
      </c>
      <c r="M164" s="15">
        <f t="shared" si="41"/>
        <v>2488.64</v>
      </c>
      <c r="N164" s="21">
        <f t="shared" si="42"/>
        <v>184.35999999999967</v>
      </c>
    </row>
    <row r="165" spans="1:19" ht="12.75">
      <c r="A165" s="42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7"/>
    </row>
    <row r="166" spans="1:19" ht="12.75">
      <c r="A166" s="57"/>
      <c r="B166" s="15"/>
      <c r="C166" s="60">
        <v>46198</v>
      </c>
      <c r="D166" s="19">
        <v>156.22</v>
      </c>
      <c r="E166" s="19">
        <v>156.74</v>
      </c>
      <c r="F166" s="19">
        <v>156.19999999999999</v>
      </c>
      <c r="G166" s="19">
        <v>156.61000000000001</v>
      </c>
      <c r="H166" s="5"/>
      <c r="I166" s="20"/>
      <c r="J166" s="20"/>
      <c r="K166" s="20">
        <v>16</v>
      </c>
      <c r="L166" s="20">
        <v>2304.2800000000002</v>
      </c>
      <c r="M166" s="15">
        <f>K166*G166</f>
        <v>2505.7600000000002</v>
      </c>
      <c r="N166" s="21">
        <f>M166-L166</f>
        <v>201.48000000000002</v>
      </c>
      <c r="O166" s="15"/>
      <c r="P166" s="20"/>
      <c r="Q166" s="20"/>
      <c r="R166" s="15"/>
      <c r="S166" s="15"/>
    </row>
    <row r="167" spans="1:19" ht="12.75">
      <c r="A167" s="41"/>
      <c r="B167" s="61" t="s">
        <v>27</v>
      </c>
      <c r="C167" s="62">
        <f>N166/G166</f>
        <v>1.2865078858310453</v>
      </c>
      <c r="D167" s="61" t="s">
        <v>28</v>
      </c>
      <c r="E167" s="63">
        <v>1</v>
      </c>
      <c r="F167" s="61" t="s">
        <v>29</v>
      </c>
      <c r="G167" s="64">
        <f>E167*G166</f>
        <v>156.61000000000001</v>
      </c>
      <c r="H167" s="65"/>
      <c r="I167" s="65"/>
      <c r="J167" s="66" t="s">
        <v>30</v>
      </c>
      <c r="K167" s="67">
        <f>K166-E167</f>
        <v>15</v>
      </c>
      <c r="L167" s="66">
        <v>2304.2800000000002</v>
      </c>
      <c r="M167" s="65"/>
      <c r="N167" s="68"/>
      <c r="O167" s="15"/>
      <c r="P167" s="66">
        <v>1</v>
      </c>
      <c r="Q167" s="66">
        <v>156.30000000000001</v>
      </c>
      <c r="R167" s="66">
        <v>156.30000000000001</v>
      </c>
      <c r="S167" s="66">
        <v>156.30000000000001</v>
      </c>
    </row>
    <row r="168" spans="1:19" ht="12.75">
      <c r="A168" s="41"/>
      <c r="C168" s="59">
        <v>46199</v>
      </c>
      <c r="D168" s="19">
        <v>156.61000000000001</v>
      </c>
      <c r="E168" s="19">
        <v>156.62</v>
      </c>
      <c r="F168" s="19">
        <v>156.22</v>
      </c>
      <c r="G168" s="19">
        <v>156.47999999999999</v>
      </c>
      <c r="K168" s="34">
        <v>15</v>
      </c>
      <c r="L168" s="20">
        <v>2304.2800000000002</v>
      </c>
      <c r="M168" s="15">
        <f t="shared" ref="M168:M170" si="43">K168*G168</f>
        <v>2347.1999999999998</v>
      </c>
      <c r="N168" s="21">
        <f t="shared" ref="N168:N170" si="44">M168-L168</f>
        <v>42.919999999999618</v>
      </c>
    </row>
    <row r="169" spans="1:19" ht="12.75">
      <c r="A169" s="41"/>
      <c r="C169" s="59">
        <v>46200</v>
      </c>
      <c r="D169" s="19">
        <v>156.22</v>
      </c>
      <c r="E169" s="19">
        <v>156.49</v>
      </c>
      <c r="F169" s="19">
        <v>156</v>
      </c>
      <c r="G169" s="19">
        <v>156.37</v>
      </c>
      <c r="K169" s="34">
        <v>15</v>
      </c>
      <c r="L169" s="20">
        <v>2304.2800000000002</v>
      </c>
      <c r="M169" s="15">
        <f t="shared" si="43"/>
        <v>2345.5500000000002</v>
      </c>
      <c r="N169" s="21">
        <f t="shared" si="44"/>
        <v>41.269999999999982</v>
      </c>
    </row>
    <row r="170" spans="1:19" ht="12.75">
      <c r="A170" s="41"/>
      <c r="C170" s="59">
        <v>46201</v>
      </c>
      <c r="D170" s="19">
        <v>156.5</v>
      </c>
      <c r="E170" s="19">
        <v>157.08000000000001</v>
      </c>
      <c r="F170" s="19">
        <v>156.30000000000001</v>
      </c>
      <c r="G170" s="19">
        <v>156.65</v>
      </c>
      <c r="K170" s="34">
        <v>15</v>
      </c>
      <c r="L170" s="20">
        <v>2304.2800000000002</v>
      </c>
      <c r="M170" s="15">
        <f t="shared" si="43"/>
        <v>2349.75</v>
      </c>
      <c r="N170" s="21">
        <f t="shared" si="44"/>
        <v>45.4699999999998</v>
      </c>
    </row>
    <row r="171" spans="1:19" ht="12.75">
      <c r="A171" s="41"/>
      <c r="C171" s="59">
        <v>46202</v>
      </c>
      <c r="N171" s="51"/>
    </row>
    <row r="172" spans="1:19" ht="12.75">
      <c r="A172" s="42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7"/>
    </row>
    <row r="173" spans="1:19" ht="12.75">
      <c r="A173" s="41"/>
      <c r="B173" s="36">
        <v>46174.666666666672</v>
      </c>
      <c r="C173" s="34" t="s">
        <v>19</v>
      </c>
      <c r="D173" s="19">
        <v>156.94999999999999</v>
      </c>
      <c r="E173" s="19">
        <v>157.16</v>
      </c>
      <c r="F173" s="19">
        <v>156.78</v>
      </c>
      <c r="G173" s="19">
        <v>156.99</v>
      </c>
      <c r="K173" s="34">
        <v>15</v>
      </c>
      <c r="L173" s="20">
        <v>2304.2800000000002</v>
      </c>
      <c r="M173" s="15">
        <f t="shared" ref="M173:M176" si="45">K173*G173</f>
        <v>2354.8500000000004</v>
      </c>
      <c r="N173" s="21">
        <f t="shared" ref="N173:N176" si="46">M173-L173</f>
        <v>50.570000000000164</v>
      </c>
    </row>
    <row r="174" spans="1:19" ht="12.75">
      <c r="A174" s="41"/>
      <c r="B174" s="36">
        <v>46175.666666666672</v>
      </c>
      <c r="C174" s="34" t="s">
        <v>20</v>
      </c>
      <c r="D174" s="19">
        <v>157</v>
      </c>
      <c r="E174" s="19">
        <v>157.01</v>
      </c>
      <c r="F174" s="19">
        <v>156.52000000000001</v>
      </c>
      <c r="G174" s="19">
        <v>156.99</v>
      </c>
      <c r="K174" s="34">
        <v>15</v>
      </c>
      <c r="L174" s="20">
        <v>2304.2800000000002</v>
      </c>
      <c r="M174" s="15">
        <f t="shared" si="45"/>
        <v>2354.8500000000004</v>
      </c>
      <c r="N174" s="21">
        <f t="shared" si="46"/>
        <v>50.570000000000164</v>
      </c>
    </row>
    <row r="175" spans="1:19" ht="12.75">
      <c r="A175" s="41"/>
      <c r="B175" s="36">
        <v>46176.666666666672</v>
      </c>
      <c r="C175" s="34" t="s">
        <v>21</v>
      </c>
      <c r="D175" s="19">
        <v>157.37</v>
      </c>
      <c r="E175" s="19">
        <v>157.79</v>
      </c>
      <c r="F175" s="19">
        <v>157.31</v>
      </c>
      <c r="G175" s="19">
        <v>157.66</v>
      </c>
      <c r="K175" s="34">
        <v>15</v>
      </c>
      <c r="L175" s="20">
        <v>2304.2800000000002</v>
      </c>
      <c r="M175" s="15">
        <f t="shared" si="45"/>
        <v>2364.9</v>
      </c>
      <c r="N175" s="21">
        <f t="shared" si="46"/>
        <v>60.619999999999891</v>
      </c>
    </row>
    <row r="176" spans="1:19" ht="12.75">
      <c r="A176" s="41"/>
      <c r="B176" s="36">
        <v>46177.666666666672</v>
      </c>
      <c r="C176" s="34" t="s">
        <v>22</v>
      </c>
      <c r="D176" s="19">
        <v>156.76</v>
      </c>
      <c r="E176" s="19">
        <v>157.05000000000001</v>
      </c>
      <c r="F176" s="19">
        <v>156.59</v>
      </c>
      <c r="G176" s="19">
        <v>156.83000000000001</v>
      </c>
      <c r="K176" s="34">
        <v>15</v>
      </c>
      <c r="L176" s="20">
        <v>2304.2800000000002</v>
      </c>
      <c r="M176" s="15">
        <f t="shared" si="45"/>
        <v>2352.4500000000003</v>
      </c>
      <c r="N176" s="21">
        <f t="shared" si="46"/>
        <v>48.170000000000073</v>
      </c>
    </row>
    <row r="177" spans="1:14" ht="12.75">
      <c r="A177" s="41"/>
      <c r="C177" s="34" t="s">
        <v>23</v>
      </c>
      <c r="N177" s="51"/>
    </row>
    <row r="178" spans="1:14" ht="12.75">
      <c r="A178" s="42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7"/>
    </row>
    <row r="179" spans="1:14" ht="12.75">
      <c r="A179" s="41"/>
      <c r="B179" s="36">
        <v>46188.666666666672</v>
      </c>
      <c r="C179" s="34" t="s">
        <v>19</v>
      </c>
      <c r="D179" s="19">
        <v>157.99</v>
      </c>
      <c r="E179" s="19">
        <v>158.97999999999999</v>
      </c>
      <c r="F179" s="19">
        <v>157.96</v>
      </c>
      <c r="G179" s="19">
        <v>158.82</v>
      </c>
      <c r="K179" s="34">
        <v>15</v>
      </c>
      <c r="L179" s="20">
        <v>2304.2800000000002</v>
      </c>
      <c r="M179" s="15">
        <f t="shared" ref="M179:M183" si="47">K179*G179</f>
        <v>2382.2999999999997</v>
      </c>
      <c r="N179" s="21">
        <f t="shared" ref="N179:N183" si="48">M179-L179</f>
        <v>78.019999999999527</v>
      </c>
    </row>
    <row r="180" spans="1:14" ht="12.75">
      <c r="A180" s="41"/>
      <c r="B180" s="36">
        <v>46189.666666666672</v>
      </c>
      <c r="C180" s="34" t="s">
        <v>20</v>
      </c>
      <c r="D180" s="19">
        <v>159</v>
      </c>
      <c r="E180" s="19">
        <v>159.66999999999999</v>
      </c>
      <c r="F180" s="19">
        <v>158.91</v>
      </c>
      <c r="G180" s="19">
        <v>159.63</v>
      </c>
      <c r="K180" s="34">
        <v>15</v>
      </c>
      <c r="L180" s="20">
        <v>2304.2800000000002</v>
      </c>
      <c r="M180" s="15">
        <f t="shared" si="47"/>
        <v>2394.4499999999998</v>
      </c>
      <c r="N180" s="21">
        <f t="shared" si="48"/>
        <v>90.169999999999618</v>
      </c>
    </row>
    <row r="181" spans="1:14" ht="12.75">
      <c r="A181" s="41"/>
      <c r="B181" s="36">
        <v>46190.666666666672</v>
      </c>
      <c r="C181" s="34" t="s">
        <v>21</v>
      </c>
      <c r="D181" s="19">
        <v>158.81</v>
      </c>
      <c r="E181" s="19">
        <v>159.34</v>
      </c>
      <c r="F181" s="19">
        <v>158.68</v>
      </c>
      <c r="G181" s="19">
        <v>159.29</v>
      </c>
      <c r="K181" s="34">
        <v>15</v>
      </c>
      <c r="L181" s="20">
        <v>2304.2800000000002</v>
      </c>
      <c r="M181" s="15">
        <f t="shared" si="47"/>
        <v>2389.35</v>
      </c>
      <c r="N181" s="21">
        <f t="shared" si="48"/>
        <v>85.069999999999709</v>
      </c>
    </row>
    <row r="182" spans="1:14" ht="12.75">
      <c r="A182" s="41"/>
      <c r="B182" s="36">
        <v>46191.666666666672</v>
      </c>
      <c r="C182" s="34" t="s">
        <v>22</v>
      </c>
      <c r="D182" s="19">
        <v>159.24</v>
      </c>
      <c r="E182" s="19">
        <v>159.49</v>
      </c>
      <c r="F182" s="19">
        <v>158.83000000000001</v>
      </c>
      <c r="G182" s="19">
        <v>159.05000000000001</v>
      </c>
      <c r="K182" s="34">
        <v>15</v>
      </c>
      <c r="L182" s="20">
        <v>2304.2800000000002</v>
      </c>
      <c r="M182" s="15">
        <f t="shared" si="47"/>
        <v>2385.75</v>
      </c>
      <c r="N182" s="21">
        <f t="shared" si="48"/>
        <v>81.4699999999998</v>
      </c>
    </row>
    <row r="183" spans="1:14" ht="12.75">
      <c r="A183" s="58"/>
      <c r="B183" s="39">
        <v>46192.666666666672</v>
      </c>
      <c r="C183" s="13" t="s">
        <v>23</v>
      </c>
      <c r="D183" s="11">
        <v>159.58000000000001</v>
      </c>
      <c r="E183" s="11">
        <v>159.69</v>
      </c>
      <c r="F183" s="11">
        <v>158.85</v>
      </c>
      <c r="G183" s="11">
        <v>158.9</v>
      </c>
      <c r="H183" s="12"/>
      <c r="I183" s="13">
        <v>2</v>
      </c>
      <c r="J183" s="13">
        <v>318.74</v>
      </c>
      <c r="K183" s="13">
        <v>17</v>
      </c>
      <c r="L183" s="12">
        <f>L182+J183</f>
        <v>2623.0200000000004</v>
      </c>
      <c r="M183" s="12">
        <f t="shared" si="47"/>
        <v>2701.3</v>
      </c>
      <c r="N183" s="14">
        <f t="shared" si="48"/>
        <v>78.279999999999745</v>
      </c>
    </row>
    <row r="184" spans="1:14" ht="12.75">
      <c r="A184" s="42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7"/>
    </row>
    <row r="185" spans="1:14" ht="12.75">
      <c r="A185" s="41"/>
      <c r="B185" s="36">
        <v>46195.666666666672</v>
      </c>
      <c r="C185" s="34" t="s">
        <v>19</v>
      </c>
      <c r="D185" s="19">
        <v>158.91999999999999</v>
      </c>
      <c r="E185" s="19">
        <v>159.51</v>
      </c>
      <c r="F185" s="19">
        <v>158.57</v>
      </c>
      <c r="G185" s="19">
        <v>159.51</v>
      </c>
      <c r="K185" s="20">
        <v>17</v>
      </c>
      <c r="L185" s="20">
        <v>2623.02</v>
      </c>
      <c r="M185" s="15">
        <f t="shared" ref="M185:M189" si="49">K185*G185</f>
        <v>2711.67</v>
      </c>
      <c r="N185" s="21">
        <f t="shared" ref="N185:N189" si="50">M185-L185</f>
        <v>88.650000000000091</v>
      </c>
    </row>
    <row r="186" spans="1:14" ht="12.75">
      <c r="A186" s="41"/>
      <c r="B186" s="36">
        <v>46196.666666666672</v>
      </c>
      <c r="C186" s="34" t="s">
        <v>20</v>
      </c>
      <c r="D186" s="19">
        <v>159.6</v>
      </c>
      <c r="E186" s="19">
        <v>159.83000000000001</v>
      </c>
      <c r="F186" s="19">
        <v>158.63999999999999</v>
      </c>
      <c r="G186" s="19">
        <v>158.63999999999999</v>
      </c>
      <c r="K186" s="20">
        <v>17</v>
      </c>
      <c r="L186" s="20">
        <v>2623.02</v>
      </c>
      <c r="M186" s="15">
        <f t="shared" si="49"/>
        <v>2696.8799999999997</v>
      </c>
      <c r="N186" s="21">
        <f t="shared" si="50"/>
        <v>73.859999999999673</v>
      </c>
    </row>
    <row r="187" spans="1:14" ht="12.75">
      <c r="A187" s="41"/>
      <c r="B187" s="36">
        <v>46197.666666666672</v>
      </c>
      <c r="C187" s="34" t="s">
        <v>21</v>
      </c>
      <c r="D187" s="19">
        <v>159.31</v>
      </c>
      <c r="E187" s="19">
        <v>159.69999999999999</v>
      </c>
      <c r="F187" s="19">
        <v>159.22999999999999</v>
      </c>
      <c r="G187" s="19">
        <v>159.43</v>
      </c>
      <c r="K187" s="20">
        <v>17</v>
      </c>
      <c r="L187" s="20">
        <v>2623.02</v>
      </c>
      <c r="M187" s="15">
        <f t="shared" si="49"/>
        <v>2710.31</v>
      </c>
      <c r="N187" s="21">
        <f t="shared" si="50"/>
        <v>87.289999999999964</v>
      </c>
    </row>
    <row r="188" spans="1:14" ht="12.75">
      <c r="A188" s="41"/>
      <c r="B188" s="36">
        <v>46198.666666666672</v>
      </c>
      <c r="C188" s="34" t="s">
        <v>22</v>
      </c>
      <c r="D188" s="19">
        <v>160.19999999999999</v>
      </c>
      <c r="E188" s="19">
        <v>160.5</v>
      </c>
      <c r="F188" s="19">
        <v>159.87</v>
      </c>
      <c r="G188" s="19">
        <v>160.5</v>
      </c>
      <c r="K188" s="20">
        <v>17</v>
      </c>
      <c r="L188" s="20">
        <v>2623.02</v>
      </c>
      <c r="M188" s="15">
        <f t="shared" si="49"/>
        <v>2728.5</v>
      </c>
      <c r="N188" s="21">
        <f t="shared" si="50"/>
        <v>105.48000000000002</v>
      </c>
    </row>
    <row r="189" spans="1:14" ht="12.75">
      <c r="A189" s="41"/>
      <c r="B189" s="36">
        <v>46199.666666666672</v>
      </c>
      <c r="C189" s="34" t="s">
        <v>23</v>
      </c>
      <c r="D189" s="19">
        <v>159.5</v>
      </c>
      <c r="E189" s="19">
        <v>159.80000000000001</v>
      </c>
      <c r="F189" s="19">
        <v>158.41999999999999</v>
      </c>
      <c r="G189" s="19">
        <v>158.63999999999999</v>
      </c>
      <c r="K189" s="20">
        <v>17</v>
      </c>
      <c r="L189" s="20">
        <v>2623.02</v>
      </c>
      <c r="M189" s="15">
        <f t="shared" si="49"/>
        <v>2696.8799999999997</v>
      </c>
      <c r="N189" s="21">
        <f t="shared" si="50"/>
        <v>73.859999999999673</v>
      </c>
    </row>
    <row r="190" spans="1:14" ht="12.75">
      <c r="A190" s="42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7"/>
    </row>
    <row r="191" spans="1:14" ht="12.75">
      <c r="A191" s="41"/>
      <c r="B191" s="36">
        <v>46202.666666666672</v>
      </c>
      <c r="C191" s="34" t="s">
        <v>19</v>
      </c>
      <c r="D191" s="19">
        <v>159.63999999999999</v>
      </c>
      <c r="E191" s="19">
        <v>160.19</v>
      </c>
      <c r="F191" s="19">
        <v>159.56</v>
      </c>
      <c r="G191" s="19">
        <v>160.05000000000001</v>
      </c>
      <c r="K191" s="20">
        <v>17</v>
      </c>
      <c r="L191" s="20">
        <v>2623.02</v>
      </c>
      <c r="M191" s="15">
        <f t="shared" ref="M191:M195" si="51">K191*G191</f>
        <v>2720.8500000000004</v>
      </c>
      <c r="N191" s="21">
        <f t="shared" ref="N191:N195" si="52">M191-L191</f>
        <v>97.830000000000382</v>
      </c>
    </row>
    <row r="192" spans="1:14" ht="12.75">
      <c r="A192" s="41"/>
      <c r="B192" s="36">
        <v>46203.666666666672</v>
      </c>
      <c r="C192" s="34" t="s">
        <v>20</v>
      </c>
      <c r="D192" s="19">
        <v>161.07</v>
      </c>
      <c r="E192" s="19">
        <v>161.9</v>
      </c>
      <c r="F192" s="19">
        <v>161.07</v>
      </c>
      <c r="G192" s="19">
        <v>161.75</v>
      </c>
      <c r="K192" s="20">
        <v>17</v>
      </c>
      <c r="L192" s="20">
        <v>2623.02</v>
      </c>
      <c r="M192" s="15">
        <f t="shared" si="51"/>
        <v>2749.75</v>
      </c>
      <c r="N192" s="21">
        <f t="shared" si="52"/>
        <v>126.73000000000002</v>
      </c>
    </row>
    <row r="193" spans="1:14" ht="12.75">
      <c r="A193" s="41"/>
      <c r="B193" s="36">
        <v>46204.666666666672</v>
      </c>
      <c r="C193" s="34" t="s">
        <v>21</v>
      </c>
      <c r="D193" s="19">
        <v>161</v>
      </c>
      <c r="E193" s="19">
        <v>161.19</v>
      </c>
      <c r="F193" s="19">
        <v>160.72999999999999</v>
      </c>
      <c r="G193" s="19">
        <v>160.97</v>
      </c>
      <c r="K193" s="20">
        <v>17</v>
      </c>
      <c r="L193" s="20">
        <v>2623.02</v>
      </c>
      <c r="M193" s="15">
        <f t="shared" si="51"/>
        <v>2736.49</v>
      </c>
      <c r="N193" s="21">
        <f t="shared" si="52"/>
        <v>113.4699999999998</v>
      </c>
    </row>
    <row r="194" spans="1:14" ht="12.75">
      <c r="A194" s="41"/>
      <c r="B194" s="36">
        <v>46205.666666666672</v>
      </c>
      <c r="C194" s="34" t="s">
        <v>22</v>
      </c>
      <c r="D194" s="19">
        <v>161</v>
      </c>
      <c r="E194" s="19">
        <v>161.57</v>
      </c>
      <c r="F194" s="19">
        <v>160.80000000000001</v>
      </c>
      <c r="G194" s="19">
        <v>160.97999999999999</v>
      </c>
      <c r="K194" s="20">
        <v>17</v>
      </c>
      <c r="L194" s="20">
        <v>2623.02</v>
      </c>
      <c r="M194" s="15">
        <f t="shared" si="51"/>
        <v>2736.66</v>
      </c>
      <c r="N194" s="21">
        <f t="shared" si="52"/>
        <v>113.63999999999987</v>
      </c>
    </row>
    <row r="195" spans="1:14" ht="12.75">
      <c r="A195" s="41"/>
      <c r="B195" s="36">
        <v>46206.666666666672</v>
      </c>
      <c r="C195" s="34" t="s">
        <v>23</v>
      </c>
      <c r="D195" s="19">
        <v>161.13</v>
      </c>
      <c r="E195" s="19">
        <v>161.28</v>
      </c>
      <c r="F195" s="19">
        <v>160.88999999999999</v>
      </c>
      <c r="G195" s="19">
        <v>161.15</v>
      </c>
      <c r="K195" s="20">
        <v>17</v>
      </c>
      <c r="L195" s="20">
        <v>2623.02</v>
      </c>
      <c r="M195" s="15">
        <f t="shared" si="51"/>
        <v>2739.55</v>
      </c>
      <c r="N195" s="21">
        <f t="shared" si="52"/>
        <v>116.5300000000002</v>
      </c>
    </row>
    <row r="196" spans="1:14" ht="12.75">
      <c r="A196" s="42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7"/>
    </row>
    <row r="197" spans="1:14" ht="12.75">
      <c r="A197" s="41"/>
      <c r="B197" s="36">
        <v>46209.666666666672</v>
      </c>
      <c r="C197" s="34" t="s">
        <v>19</v>
      </c>
      <c r="D197" s="19">
        <v>161.47999999999999</v>
      </c>
      <c r="E197" s="19">
        <v>161.66999999999999</v>
      </c>
      <c r="F197" s="19">
        <v>161.11000000000001</v>
      </c>
      <c r="G197" s="19">
        <v>161.26</v>
      </c>
      <c r="K197" s="34">
        <v>17</v>
      </c>
      <c r="L197" s="20">
        <v>2623.02</v>
      </c>
      <c r="M197" s="15">
        <f t="shared" ref="M197:M201" si="53">K197*G197</f>
        <v>2741.42</v>
      </c>
      <c r="N197" s="21">
        <f t="shared" ref="N197:N201" si="54">M197-L197</f>
        <v>118.40000000000009</v>
      </c>
    </row>
    <row r="198" spans="1:14" ht="12.75">
      <c r="A198" s="41"/>
      <c r="B198" s="36">
        <v>46210.666666666672</v>
      </c>
      <c r="C198" s="34" t="s">
        <v>20</v>
      </c>
      <c r="D198" s="19">
        <v>161.38999999999999</v>
      </c>
      <c r="E198" s="19">
        <v>161.6</v>
      </c>
      <c r="F198" s="19">
        <v>161.13</v>
      </c>
      <c r="G198" s="19">
        <v>161.34</v>
      </c>
      <c r="K198" s="34">
        <v>17</v>
      </c>
      <c r="L198" s="20">
        <v>2623.02</v>
      </c>
      <c r="M198" s="15">
        <f t="shared" si="53"/>
        <v>2742.78</v>
      </c>
      <c r="N198" s="21">
        <f t="shared" si="54"/>
        <v>119.76000000000022</v>
      </c>
    </row>
    <row r="199" spans="1:14" ht="12.75">
      <c r="A199" s="41"/>
      <c r="B199" s="36">
        <v>46211.666666666672</v>
      </c>
      <c r="C199" s="34" t="s">
        <v>21</v>
      </c>
      <c r="D199" s="19">
        <v>161.1</v>
      </c>
      <c r="E199" s="19">
        <v>161.13</v>
      </c>
      <c r="F199" s="19">
        <v>160.47</v>
      </c>
      <c r="G199" s="19">
        <v>160.51</v>
      </c>
      <c r="K199" s="34">
        <v>17</v>
      </c>
      <c r="L199" s="20">
        <v>2623.02</v>
      </c>
      <c r="M199" s="15">
        <f t="shared" si="53"/>
        <v>2728.67</v>
      </c>
      <c r="N199" s="21">
        <f t="shared" si="54"/>
        <v>105.65000000000009</v>
      </c>
    </row>
    <row r="200" spans="1:14" ht="12.75">
      <c r="A200" s="41"/>
      <c r="B200" s="36">
        <v>46212.666666666672</v>
      </c>
      <c r="C200" s="34" t="s">
        <v>22</v>
      </c>
      <c r="D200" s="19">
        <v>160.22999999999999</v>
      </c>
      <c r="E200" s="19">
        <v>160.65</v>
      </c>
      <c r="F200" s="19">
        <v>160.06</v>
      </c>
      <c r="G200" s="19">
        <v>160.59</v>
      </c>
      <c r="K200" s="34">
        <v>17</v>
      </c>
      <c r="L200" s="20">
        <v>2623.02</v>
      </c>
      <c r="M200" s="15">
        <f t="shared" si="53"/>
        <v>2730.03</v>
      </c>
      <c r="N200" s="21">
        <f t="shared" si="54"/>
        <v>107.01000000000022</v>
      </c>
    </row>
    <row r="201" spans="1:14" ht="12.75">
      <c r="A201" s="50" t="s">
        <v>18</v>
      </c>
      <c r="B201" s="39">
        <v>46213.666666666672</v>
      </c>
      <c r="C201" s="13" t="s">
        <v>23</v>
      </c>
      <c r="D201" s="11">
        <v>161.22999999999999</v>
      </c>
      <c r="E201" s="11">
        <v>161.32</v>
      </c>
      <c r="F201" s="11">
        <v>160.72</v>
      </c>
      <c r="G201" s="11">
        <v>160.72</v>
      </c>
      <c r="H201" s="12"/>
      <c r="I201" s="13">
        <v>1</v>
      </c>
      <c r="J201" s="13">
        <v>160.82</v>
      </c>
      <c r="K201" s="13">
        <v>18</v>
      </c>
      <c r="L201" s="13">
        <f>L200+J201</f>
        <v>2783.84</v>
      </c>
      <c r="M201" s="12">
        <f t="shared" si="53"/>
        <v>2892.96</v>
      </c>
      <c r="N201" s="14">
        <f t="shared" si="54"/>
        <v>109.11999999999989</v>
      </c>
    </row>
    <row r="202" spans="1:14" ht="12.75">
      <c r="A202" s="42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7"/>
    </row>
    <row r="203" spans="1:14" ht="12.75">
      <c r="A203" s="41"/>
      <c r="B203" s="36">
        <v>46216.666666666672</v>
      </c>
      <c r="C203" s="34" t="s">
        <v>19</v>
      </c>
      <c r="D203" s="19">
        <v>161.15</v>
      </c>
      <c r="E203" s="19">
        <v>161.53</v>
      </c>
      <c r="F203" s="19">
        <v>160.69</v>
      </c>
      <c r="G203" s="19">
        <v>160.82</v>
      </c>
      <c r="K203" s="34">
        <v>18</v>
      </c>
      <c r="L203" s="34">
        <v>2783.84</v>
      </c>
      <c r="M203" s="15">
        <f t="shared" ref="M203:M207" si="55">K203*G203</f>
        <v>2894.7599999999998</v>
      </c>
      <c r="N203" s="21">
        <f t="shared" ref="N203:N207" si="56">M203-L203</f>
        <v>110.91999999999962</v>
      </c>
    </row>
    <row r="204" spans="1:14" ht="12.75">
      <c r="A204" s="41"/>
      <c r="B204" s="36">
        <v>46217.666666666672</v>
      </c>
      <c r="C204" s="34" t="s">
        <v>20</v>
      </c>
      <c r="D204" s="19">
        <v>160.80000000000001</v>
      </c>
      <c r="E204" s="19">
        <v>161</v>
      </c>
      <c r="F204" s="19">
        <v>160.27000000000001</v>
      </c>
      <c r="G204" s="19">
        <v>160.96</v>
      </c>
      <c r="K204" s="34">
        <v>18</v>
      </c>
      <c r="L204" s="34">
        <v>2783.84</v>
      </c>
      <c r="M204" s="15">
        <f t="shared" si="55"/>
        <v>2897.28</v>
      </c>
      <c r="N204" s="21">
        <f t="shared" si="56"/>
        <v>113.44000000000005</v>
      </c>
    </row>
    <row r="205" spans="1:14" ht="12.75">
      <c r="A205" s="41"/>
      <c r="B205" s="36">
        <v>46218.666666666672</v>
      </c>
      <c r="C205" s="34" t="s">
        <v>21</v>
      </c>
      <c r="D205" s="19">
        <v>160.88999999999999</v>
      </c>
      <c r="E205" s="19">
        <v>160.9</v>
      </c>
      <c r="F205" s="19">
        <v>160.47</v>
      </c>
      <c r="G205" s="19">
        <v>160.77000000000001</v>
      </c>
      <c r="K205" s="34">
        <v>18</v>
      </c>
      <c r="L205" s="34">
        <v>2783.84</v>
      </c>
      <c r="M205" s="15">
        <f t="shared" si="55"/>
        <v>2893.86</v>
      </c>
      <c r="N205" s="21">
        <f t="shared" si="56"/>
        <v>110.01999999999998</v>
      </c>
    </row>
    <row r="206" spans="1:14" ht="12.75">
      <c r="A206" s="41"/>
      <c r="B206" s="36">
        <v>46219.666666666672</v>
      </c>
      <c r="C206" s="34" t="s">
        <v>22</v>
      </c>
      <c r="D206" s="19">
        <v>160.61000000000001</v>
      </c>
      <c r="E206" s="19">
        <v>160.91999999999999</v>
      </c>
      <c r="F206" s="19">
        <v>160.43</v>
      </c>
      <c r="G206" s="19">
        <v>160.76</v>
      </c>
      <c r="K206" s="34">
        <v>18</v>
      </c>
      <c r="L206" s="34">
        <v>2783.84</v>
      </c>
      <c r="M206" s="15">
        <f t="shared" si="55"/>
        <v>2893.68</v>
      </c>
      <c r="N206" s="21">
        <f t="shared" si="56"/>
        <v>109.83999999999969</v>
      </c>
    </row>
    <row r="207" spans="1:14" ht="12.75">
      <c r="A207" s="41"/>
      <c r="B207" s="36">
        <v>46220.666666666672</v>
      </c>
      <c r="C207" s="34" t="s">
        <v>23</v>
      </c>
      <c r="D207" s="19">
        <v>160.63999999999999</v>
      </c>
      <c r="E207" s="19">
        <v>160.63999999999999</v>
      </c>
      <c r="F207" s="19">
        <v>158.53</v>
      </c>
      <c r="G207" s="19">
        <v>158.82</v>
      </c>
      <c r="K207" s="34">
        <v>18</v>
      </c>
      <c r="L207" s="34">
        <v>2783.84</v>
      </c>
      <c r="M207" s="15">
        <f t="shared" si="55"/>
        <v>2858.7599999999998</v>
      </c>
      <c r="N207" s="21">
        <f t="shared" si="56"/>
        <v>74.919999999999618</v>
      </c>
    </row>
    <row r="208" spans="1:14" ht="12.75">
      <c r="A208" s="42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7"/>
    </row>
    <row r="209" spans="1:14" ht="12.75">
      <c r="A209" s="41"/>
      <c r="N209" s="51"/>
    </row>
    <row r="210" spans="1:14" ht="12.75">
      <c r="A210" s="41"/>
      <c r="N210" s="51"/>
    </row>
    <row r="211" spans="1:14" ht="12.75">
      <c r="A211" s="41"/>
      <c r="N211" s="51"/>
    </row>
    <row r="212" spans="1:14" ht="12.75">
      <c r="A212" s="41"/>
      <c r="N212" s="51"/>
    </row>
    <row r="213" spans="1:14" ht="12.75">
      <c r="A213" s="41"/>
      <c r="N213" s="51"/>
    </row>
    <row r="214" spans="1:14" ht="12.75">
      <c r="A214" s="41"/>
      <c r="N214" s="51"/>
    </row>
    <row r="215" spans="1:14" ht="12.75">
      <c r="A215" s="41"/>
      <c r="N215" s="51"/>
    </row>
    <row r="216" spans="1:14" ht="12.75">
      <c r="A216" s="41"/>
      <c r="N216" s="51"/>
    </row>
    <row r="217" spans="1:14" ht="12.75">
      <c r="A217" s="41"/>
      <c r="N217" s="51"/>
    </row>
    <row r="218" spans="1:14" ht="12.75">
      <c r="A218" s="41"/>
      <c r="N218" s="51"/>
    </row>
    <row r="219" spans="1:14" ht="12.75">
      <c r="A219" s="41"/>
      <c r="N219" s="51"/>
    </row>
    <row r="220" spans="1:14" ht="12.75">
      <c r="A220" s="41"/>
      <c r="N220" s="51"/>
    </row>
    <row r="221" spans="1:14" ht="12.75">
      <c r="A221" s="41"/>
      <c r="N221" s="51"/>
    </row>
    <row r="222" spans="1:14" ht="12.75">
      <c r="A222" s="41"/>
      <c r="N222" s="51"/>
    </row>
    <row r="223" spans="1:14" ht="12.75">
      <c r="A223" s="41"/>
      <c r="N223" s="51"/>
    </row>
    <row r="224" spans="1:14" ht="12.75">
      <c r="A224" s="41"/>
      <c r="N224" s="51"/>
    </row>
    <row r="225" spans="1:14" ht="12.75">
      <c r="A225" s="41"/>
      <c r="N225" s="51"/>
    </row>
    <row r="226" spans="1:14" ht="12.75">
      <c r="A226" s="41"/>
      <c r="N226" s="51"/>
    </row>
    <row r="227" spans="1:14" ht="12.75">
      <c r="A227" s="41"/>
      <c r="N227" s="51"/>
    </row>
    <row r="228" spans="1:14" ht="12.75">
      <c r="A228" s="41"/>
      <c r="N228" s="51"/>
    </row>
    <row r="229" spans="1:14" ht="12.75">
      <c r="A229" s="41"/>
      <c r="N229" s="51"/>
    </row>
    <row r="230" spans="1:14" ht="12.75">
      <c r="A230" s="41"/>
      <c r="N230" s="51"/>
    </row>
    <row r="231" spans="1:14" ht="12.75">
      <c r="A231" s="41"/>
      <c r="N231" s="51"/>
    </row>
    <row r="232" spans="1:14" ht="12.75">
      <c r="A232" s="41"/>
      <c r="N232" s="51"/>
    </row>
    <row r="233" spans="1:14" ht="12.75">
      <c r="A233" s="41"/>
      <c r="N233" s="51"/>
    </row>
    <row r="234" spans="1:14" ht="12.75">
      <c r="A234" s="41"/>
      <c r="N234" s="51"/>
    </row>
    <row r="235" spans="1:14" ht="12.75">
      <c r="A235" s="41"/>
      <c r="N235" s="51"/>
    </row>
    <row r="236" spans="1:14" ht="12.75">
      <c r="A236" s="41"/>
      <c r="N236" s="51"/>
    </row>
    <row r="237" spans="1:14" ht="12.75">
      <c r="A237" s="41"/>
      <c r="N237" s="51"/>
    </row>
    <row r="238" spans="1:14" ht="12.75">
      <c r="A238" s="41"/>
      <c r="N238" s="51"/>
    </row>
    <row r="239" spans="1:14" ht="12.75">
      <c r="A239" s="41"/>
      <c r="N239" s="51"/>
    </row>
    <row r="240" spans="1:14" ht="12.75">
      <c r="A240" s="41"/>
      <c r="N240" s="51"/>
    </row>
    <row r="241" spans="1:14" ht="12.75">
      <c r="A241" s="41"/>
      <c r="N241" s="51"/>
    </row>
    <row r="242" spans="1:14" ht="12.75">
      <c r="A242" s="41"/>
      <c r="N242" s="51"/>
    </row>
    <row r="243" spans="1:14" ht="12.75">
      <c r="A243" s="41"/>
      <c r="N243" s="51"/>
    </row>
    <row r="244" spans="1:14" ht="12.75">
      <c r="A244" s="41"/>
      <c r="N244" s="51"/>
    </row>
    <row r="245" spans="1:14" ht="12.75">
      <c r="A245" s="41"/>
      <c r="N245" s="51"/>
    </row>
    <row r="246" spans="1:14" ht="12.75">
      <c r="A246" s="41"/>
      <c r="N246" s="51"/>
    </row>
    <row r="247" spans="1:14" ht="12.75">
      <c r="A247" s="41"/>
      <c r="N247" s="51"/>
    </row>
    <row r="248" spans="1:14" ht="12.75">
      <c r="A248" s="41"/>
      <c r="N248" s="51"/>
    </row>
    <row r="249" spans="1:14" ht="12.75">
      <c r="A249" s="41"/>
      <c r="N249" s="51"/>
    </row>
    <row r="250" spans="1:14" ht="12.75">
      <c r="A250" s="41"/>
      <c r="N250" s="51"/>
    </row>
    <row r="251" spans="1:14" ht="12.75">
      <c r="A251" s="41"/>
      <c r="N251" s="51"/>
    </row>
    <row r="252" spans="1:14" ht="12.75">
      <c r="A252" s="41"/>
      <c r="N252" s="51"/>
    </row>
    <row r="253" spans="1:14" ht="12.75">
      <c r="A253" s="41"/>
      <c r="N253" s="51"/>
    </row>
    <row r="254" spans="1:14" ht="12.75">
      <c r="A254" s="41"/>
      <c r="N254" s="51"/>
    </row>
    <row r="255" spans="1:14" ht="12.75">
      <c r="A255" s="41"/>
      <c r="N255" s="51"/>
    </row>
    <row r="256" spans="1:14" ht="12.75">
      <c r="A256" s="41"/>
      <c r="N256" s="51"/>
    </row>
    <row r="257" spans="1:14" ht="12.75">
      <c r="A257" s="41"/>
      <c r="N257" s="51"/>
    </row>
    <row r="258" spans="1:14" ht="12.75">
      <c r="A258" s="41"/>
      <c r="N258" s="51"/>
    </row>
    <row r="259" spans="1:14" ht="12.75">
      <c r="A259" s="41"/>
      <c r="N259" s="51"/>
    </row>
    <row r="260" spans="1:14" ht="12.75">
      <c r="A260" s="41"/>
      <c r="N260" s="51"/>
    </row>
    <row r="261" spans="1:14" ht="12.75">
      <c r="A261" s="41"/>
      <c r="N261" s="51"/>
    </row>
    <row r="262" spans="1:14" ht="12.75">
      <c r="A262" s="41"/>
      <c r="N262" s="51"/>
    </row>
    <row r="263" spans="1:14" ht="12.75">
      <c r="A263" s="41"/>
      <c r="N263" s="51"/>
    </row>
    <row r="264" spans="1:14" ht="12.75">
      <c r="A264" s="41"/>
      <c r="N264" s="51"/>
    </row>
    <row r="265" spans="1:14" ht="12.75">
      <c r="A265" s="41"/>
      <c r="N265" s="51"/>
    </row>
    <row r="266" spans="1:14" ht="12.75">
      <c r="A266" s="41"/>
      <c r="N266" s="51"/>
    </row>
    <row r="267" spans="1:14" ht="12.75">
      <c r="A267" s="41"/>
      <c r="N267" s="51"/>
    </row>
    <row r="268" spans="1:14" ht="12.75">
      <c r="A268" s="41"/>
      <c r="N268" s="51"/>
    </row>
    <row r="269" spans="1:14" ht="12.75">
      <c r="A269" s="41"/>
      <c r="N269" s="51"/>
    </row>
    <row r="270" spans="1:14" ht="12.75">
      <c r="A270" s="41"/>
      <c r="N270" s="51"/>
    </row>
    <row r="271" spans="1:14" ht="12.75">
      <c r="A271" s="41"/>
      <c r="N271" s="51"/>
    </row>
    <row r="272" spans="1:14" ht="12.75">
      <c r="A272" s="41"/>
      <c r="N272" s="51"/>
    </row>
    <row r="273" spans="1:14" ht="12.75">
      <c r="A273" s="41"/>
      <c r="N273" s="51"/>
    </row>
    <row r="274" spans="1:14" ht="12.75">
      <c r="A274" s="41"/>
      <c r="N274" s="51"/>
    </row>
    <row r="275" spans="1:14" ht="12.75">
      <c r="A275" s="41"/>
      <c r="N275" s="51"/>
    </row>
    <row r="276" spans="1:14" ht="12.75">
      <c r="A276" s="41"/>
      <c r="N276" s="51"/>
    </row>
    <row r="277" spans="1:14" ht="12.75">
      <c r="A277" s="41"/>
      <c r="N277" s="51"/>
    </row>
    <row r="278" spans="1:14" ht="12.75">
      <c r="A278" s="41"/>
      <c r="N278" s="51"/>
    </row>
    <row r="279" spans="1:14" ht="12.75">
      <c r="A279" s="41"/>
      <c r="N279" s="51"/>
    </row>
    <row r="280" spans="1:14" ht="12.75">
      <c r="A280" s="41"/>
      <c r="N280" s="51"/>
    </row>
    <row r="281" spans="1:14" ht="12.75">
      <c r="A281" s="41"/>
      <c r="N281" s="51"/>
    </row>
    <row r="282" spans="1:14" ht="12.75">
      <c r="A282" s="41"/>
      <c r="N282" s="51"/>
    </row>
    <row r="283" spans="1:14" ht="12.75">
      <c r="A283" s="41"/>
      <c r="N283" s="51"/>
    </row>
    <row r="284" spans="1:14" ht="12.75">
      <c r="A284" s="41"/>
      <c r="N284" s="51"/>
    </row>
    <row r="285" spans="1:14" ht="12.75">
      <c r="A285" s="41"/>
      <c r="N285" s="51"/>
    </row>
    <row r="286" spans="1:14" ht="12.75">
      <c r="A286" s="41"/>
      <c r="N286" s="51"/>
    </row>
    <row r="287" spans="1:14" ht="12.75">
      <c r="A287" s="41"/>
      <c r="N287" s="51"/>
    </row>
    <row r="288" spans="1:14" ht="12.75">
      <c r="A288" s="41"/>
      <c r="N288" s="51"/>
    </row>
    <row r="289" spans="1:14" ht="12.75">
      <c r="A289" s="41"/>
      <c r="N289" s="51"/>
    </row>
    <row r="290" spans="1:14" ht="12.75">
      <c r="A290" s="41"/>
      <c r="N290" s="51"/>
    </row>
    <row r="291" spans="1:14" ht="12.75">
      <c r="A291" s="41"/>
      <c r="N291" s="51"/>
    </row>
    <row r="292" spans="1:14" ht="12.75">
      <c r="A292" s="41"/>
      <c r="N292" s="51"/>
    </row>
    <row r="293" spans="1:14" ht="12.75">
      <c r="A293" s="41"/>
      <c r="N293" s="51"/>
    </row>
    <row r="294" spans="1:14" ht="12.75">
      <c r="A294" s="41"/>
      <c r="N294" s="51"/>
    </row>
    <row r="295" spans="1:14" ht="12.75">
      <c r="A295" s="41"/>
      <c r="N295" s="51"/>
    </row>
    <row r="296" spans="1:14" ht="12.75">
      <c r="A296" s="41"/>
      <c r="N296" s="51"/>
    </row>
    <row r="297" spans="1:14" ht="12.75">
      <c r="A297" s="41"/>
      <c r="N297" s="51"/>
    </row>
    <row r="298" spans="1:14" ht="12.75">
      <c r="A298" s="41"/>
      <c r="N298" s="51"/>
    </row>
    <row r="299" spans="1:14" ht="12.75">
      <c r="A299" s="41"/>
      <c r="N299" s="51"/>
    </row>
    <row r="300" spans="1:14" ht="12.75">
      <c r="A300" s="41"/>
      <c r="N300" s="51"/>
    </row>
    <row r="301" spans="1:14" ht="12.75">
      <c r="A301" s="41"/>
      <c r="N301" s="51"/>
    </row>
    <row r="302" spans="1:14" ht="12.75">
      <c r="A302" s="41"/>
      <c r="N302" s="51"/>
    </row>
    <row r="303" spans="1:14" ht="12.75">
      <c r="A303" s="41"/>
      <c r="N303" s="51"/>
    </row>
    <row r="304" spans="1:14" ht="12.75">
      <c r="A304" s="41"/>
      <c r="N304" s="51"/>
    </row>
    <row r="305" spans="1:14" ht="12.75">
      <c r="A305" s="41"/>
      <c r="N305" s="51"/>
    </row>
    <row r="306" spans="1:14" ht="12.75">
      <c r="A306" s="41"/>
      <c r="N306" s="51"/>
    </row>
    <row r="307" spans="1:14" ht="12.75">
      <c r="A307" s="41"/>
      <c r="N307" s="51"/>
    </row>
    <row r="308" spans="1:14" ht="12.75">
      <c r="A308" s="41"/>
      <c r="N308" s="51"/>
    </row>
    <row r="309" spans="1:14" ht="12.75">
      <c r="A309" s="41"/>
      <c r="N309" s="51"/>
    </row>
    <row r="310" spans="1:14" ht="12.75">
      <c r="A310" s="41"/>
      <c r="N310" s="51"/>
    </row>
    <row r="311" spans="1:14" ht="12.75">
      <c r="A311" s="41"/>
      <c r="N311" s="51"/>
    </row>
    <row r="312" spans="1:14" ht="12.75">
      <c r="A312" s="41"/>
      <c r="N312" s="51"/>
    </row>
    <row r="313" spans="1:14" ht="12.75">
      <c r="A313" s="41"/>
      <c r="N313" s="51"/>
    </row>
    <row r="314" spans="1:14" ht="12.75">
      <c r="A314" s="41"/>
      <c r="N314" s="51"/>
    </row>
    <row r="315" spans="1:14" ht="12.75">
      <c r="A315" s="41"/>
      <c r="N315" s="51"/>
    </row>
    <row r="316" spans="1:14" ht="12.75">
      <c r="A316" s="41"/>
      <c r="N316" s="51"/>
    </row>
    <row r="317" spans="1:14" ht="12.75">
      <c r="A317" s="41"/>
      <c r="N317" s="51"/>
    </row>
    <row r="318" spans="1:14" ht="12.75">
      <c r="A318" s="41"/>
      <c r="N318" s="51"/>
    </row>
    <row r="319" spans="1:14" ht="12.75">
      <c r="A319" s="41"/>
      <c r="N319" s="51"/>
    </row>
    <row r="320" spans="1:14" ht="12.75">
      <c r="A320" s="41"/>
      <c r="N320" s="51"/>
    </row>
    <row r="321" spans="1:14" ht="12.75">
      <c r="A321" s="41"/>
      <c r="N321" s="51"/>
    </row>
    <row r="322" spans="1:14" ht="12.75">
      <c r="A322" s="41"/>
      <c r="N322" s="51"/>
    </row>
    <row r="323" spans="1:14" ht="12.75">
      <c r="A323" s="41"/>
      <c r="N323" s="51"/>
    </row>
    <row r="324" spans="1:14" ht="12.75">
      <c r="A324" s="41"/>
      <c r="N324" s="51"/>
    </row>
    <row r="325" spans="1:14" ht="12.75">
      <c r="A325" s="41"/>
      <c r="N325" s="51"/>
    </row>
    <row r="326" spans="1:14" ht="12.75">
      <c r="A326" s="41"/>
      <c r="N326" s="51"/>
    </row>
    <row r="327" spans="1:14" ht="12.75">
      <c r="A327" s="41"/>
      <c r="N327" s="51"/>
    </row>
    <row r="328" spans="1:14" ht="12.75">
      <c r="A328" s="41"/>
      <c r="N328" s="51"/>
    </row>
    <row r="329" spans="1:14" ht="12.75">
      <c r="A329" s="41"/>
      <c r="N329" s="51"/>
    </row>
    <row r="330" spans="1:14" ht="12.75">
      <c r="A330" s="41"/>
      <c r="N330" s="51"/>
    </row>
    <row r="331" spans="1:14" ht="12.75">
      <c r="A331" s="41"/>
      <c r="N331" s="51"/>
    </row>
    <row r="332" spans="1:14" ht="12.75">
      <c r="A332" s="41"/>
      <c r="N332" s="51"/>
    </row>
    <row r="333" spans="1:14" ht="12.75">
      <c r="A333" s="41"/>
      <c r="N333" s="51"/>
    </row>
    <row r="334" spans="1:14" ht="12.75">
      <c r="A334" s="41"/>
      <c r="N334" s="51"/>
    </row>
    <row r="335" spans="1:14" ht="12.75">
      <c r="A335" s="41"/>
      <c r="N335" s="51"/>
    </row>
    <row r="336" spans="1:14" ht="12.75">
      <c r="A336" s="41"/>
      <c r="N336" s="51"/>
    </row>
    <row r="337" spans="1:14" ht="12.75">
      <c r="A337" s="41"/>
      <c r="N337" s="51"/>
    </row>
    <row r="338" spans="1:14" ht="12.75">
      <c r="A338" s="41"/>
      <c r="N338" s="51"/>
    </row>
    <row r="339" spans="1:14" ht="12.75">
      <c r="A339" s="41"/>
      <c r="N339" s="51"/>
    </row>
    <row r="340" spans="1:14" ht="12.75">
      <c r="A340" s="41"/>
      <c r="N340" s="51"/>
    </row>
    <row r="341" spans="1:14" ht="12.75">
      <c r="A341" s="41"/>
      <c r="N341" s="51"/>
    </row>
    <row r="342" spans="1:14" ht="12.75">
      <c r="A342" s="41"/>
      <c r="N342" s="51"/>
    </row>
    <row r="343" spans="1:14" ht="12.75">
      <c r="A343" s="41"/>
      <c r="N343" s="51"/>
    </row>
    <row r="344" spans="1:14" ht="12.75">
      <c r="A344" s="41"/>
      <c r="N344" s="51"/>
    </row>
    <row r="345" spans="1:14" ht="12.75">
      <c r="A345" s="41"/>
      <c r="N345" s="51"/>
    </row>
    <row r="346" spans="1:14" ht="12.75">
      <c r="A346" s="41"/>
      <c r="N346" s="51"/>
    </row>
    <row r="347" spans="1:14" ht="12.75">
      <c r="A347" s="41"/>
      <c r="N347" s="51"/>
    </row>
    <row r="348" spans="1:14" ht="12.75">
      <c r="A348" s="41"/>
      <c r="N348" s="51"/>
    </row>
    <row r="349" spans="1:14" ht="12.75">
      <c r="A349" s="41"/>
      <c r="N349" s="51"/>
    </row>
    <row r="350" spans="1:14" ht="12.75">
      <c r="A350" s="41"/>
      <c r="N350" s="51"/>
    </row>
    <row r="351" spans="1:14" ht="12.75">
      <c r="A351" s="41"/>
      <c r="N351" s="51"/>
    </row>
    <row r="352" spans="1:14" ht="12.75">
      <c r="A352" s="41"/>
      <c r="N352" s="51"/>
    </row>
    <row r="353" spans="1:14" ht="12.75">
      <c r="A353" s="41"/>
      <c r="N353" s="51"/>
    </row>
    <row r="354" spans="1:14" ht="12.75">
      <c r="A354" s="41"/>
      <c r="N354" s="51"/>
    </row>
    <row r="355" spans="1:14" ht="12.75">
      <c r="A355" s="41"/>
      <c r="N355" s="51"/>
    </row>
    <row r="356" spans="1:14" ht="12.75">
      <c r="A356" s="41"/>
      <c r="N356" s="51"/>
    </row>
    <row r="357" spans="1:14" ht="12.75">
      <c r="A357" s="41"/>
      <c r="N357" s="51"/>
    </row>
    <row r="358" spans="1:14" ht="12.75">
      <c r="A358" s="41"/>
      <c r="N358" s="51"/>
    </row>
    <row r="359" spans="1:14" ht="12.75">
      <c r="A359" s="41"/>
      <c r="N359" s="51"/>
    </row>
    <row r="360" spans="1:14" ht="12.75">
      <c r="A360" s="41"/>
      <c r="N360" s="51"/>
    </row>
    <row r="361" spans="1:14" ht="12.75">
      <c r="A361" s="41"/>
      <c r="N361" s="51"/>
    </row>
    <row r="362" spans="1:14" ht="12.75">
      <c r="A362" s="41"/>
      <c r="N362" s="51"/>
    </row>
    <row r="363" spans="1:14" ht="12.75">
      <c r="A363" s="41"/>
      <c r="N363" s="51"/>
    </row>
    <row r="364" spans="1:14" ht="12.75">
      <c r="A364" s="41"/>
      <c r="N364" s="51"/>
    </row>
    <row r="365" spans="1:14" ht="12.75">
      <c r="A365" s="41"/>
      <c r="N365" s="51"/>
    </row>
    <row r="366" spans="1:14" ht="12.75">
      <c r="A366" s="41"/>
      <c r="N366" s="51"/>
    </row>
    <row r="367" spans="1:14" ht="12.75">
      <c r="A367" s="41"/>
      <c r="N367" s="51"/>
    </row>
    <row r="368" spans="1:14" ht="12.75">
      <c r="A368" s="41"/>
      <c r="N368" s="51"/>
    </row>
    <row r="369" spans="1:14" ht="12.75">
      <c r="A369" s="41"/>
      <c r="N369" s="51"/>
    </row>
    <row r="370" spans="1:14" ht="12.75">
      <c r="A370" s="41"/>
      <c r="N370" s="51"/>
    </row>
    <row r="371" spans="1:14" ht="12.75">
      <c r="A371" s="41"/>
      <c r="N371" s="51"/>
    </row>
    <row r="372" spans="1:14" ht="12.75">
      <c r="A372" s="41"/>
      <c r="N372" s="51"/>
    </row>
    <row r="373" spans="1:14" ht="12.75">
      <c r="A373" s="41"/>
      <c r="N373" s="51"/>
    </row>
    <row r="374" spans="1:14" ht="12.75">
      <c r="A374" s="41"/>
      <c r="N374" s="51"/>
    </row>
    <row r="375" spans="1:14" ht="12.75">
      <c r="A375" s="41"/>
      <c r="N375" s="51"/>
    </row>
    <row r="376" spans="1:14" ht="12.75">
      <c r="A376" s="41"/>
      <c r="N376" s="51"/>
    </row>
    <row r="377" spans="1:14" ht="12.75">
      <c r="A377" s="41"/>
      <c r="N377" s="51"/>
    </row>
    <row r="378" spans="1:14" ht="12.75">
      <c r="A378" s="41"/>
      <c r="N378" s="51"/>
    </row>
    <row r="379" spans="1:14" ht="12.75">
      <c r="A379" s="41"/>
      <c r="N379" s="51"/>
    </row>
    <row r="380" spans="1:14" ht="12.75">
      <c r="A380" s="41"/>
      <c r="N380" s="51"/>
    </row>
    <row r="381" spans="1:14" ht="12.75">
      <c r="A381" s="41"/>
      <c r="N381" s="51"/>
    </row>
    <row r="382" spans="1:14" ht="12.75">
      <c r="A382" s="41"/>
      <c r="N382" s="51"/>
    </row>
    <row r="383" spans="1:14" ht="12.75">
      <c r="A383" s="41"/>
      <c r="N383" s="51"/>
    </row>
    <row r="384" spans="1:14" ht="12.75">
      <c r="A384" s="41"/>
      <c r="N384" s="51"/>
    </row>
    <row r="385" spans="1:14" ht="12.75">
      <c r="A385" s="41"/>
      <c r="N385" s="51"/>
    </row>
    <row r="386" spans="1:14" ht="12.75">
      <c r="A386" s="41"/>
      <c r="N386" s="51"/>
    </row>
    <row r="387" spans="1:14" ht="12.75">
      <c r="A387" s="41"/>
      <c r="N387" s="51"/>
    </row>
    <row r="388" spans="1:14" ht="12.75">
      <c r="A388" s="41"/>
      <c r="N388" s="51"/>
    </row>
    <row r="389" spans="1:14" ht="12.75">
      <c r="A389" s="41"/>
      <c r="N389" s="51"/>
    </row>
    <row r="390" spans="1:14" ht="12.75">
      <c r="A390" s="41"/>
      <c r="N390" s="51"/>
    </row>
    <row r="391" spans="1:14" ht="12.75">
      <c r="A391" s="41"/>
      <c r="N391" s="51"/>
    </row>
    <row r="392" spans="1:14" ht="12.75">
      <c r="A392" s="41"/>
      <c r="N392" s="51"/>
    </row>
    <row r="393" spans="1:14" ht="12.75">
      <c r="A393" s="41"/>
      <c r="N393" s="51"/>
    </row>
    <row r="394" spans="1:14" ht="12.75">
      <c r="A394" s="41"/>
      <c r="N394" s="51"/>
    </row>
    <row r="395" spans="1:14" ht="12.75">
      <c r="A395" s="41"/>
      <c r="N395" s="51"/>
    </row>
    <row r="396" spans="1:14" ht="12.75">
      <c r="A396" s="41"/>
      <c r="N396" s="51"/>
    </row>
    <row r="397" spans="1:14" ht="12.75">
      <c r="A397" s="41"/>
      <c r="N397" s="51"/>
    </row>
    <row r="398" spans="1:14" ht="12.75">
      <c r="A398" s="41"/>
      <c r="N398" s="51"/>
    </row>
    <row r="399" spans="1:14" ht="12.75">
      <c r="A399" s="41"/>
      <c r="N399" s="51"/>
    </row>
    <row r="400" spans="1:14" ht="12.75">
      <c r="A400" s="41"/>
      <c r="N400" s="51"/>
    </row>
    <row r="401" spans="1:14" ht="12.75">
      <c r="A401" s="41"/>
      <c r="N401" s="51"/>
    </row>
    <row r="402" spans="1:14" ht="12.75">
      <c r="A402" s="41"/>
      <c r="N402" s="51"/>
    </row>
    <row r="403" spans="1:14" ht="12.75">
      <c r="A403" s="41"/>
      <c r="N403" s="51"/>
    </row>
    <row r="404" spans="1:14" ht="12.75">
      <c r="A404" s="41"/>
      <c r="N404" s="51"/>
    </row>
    <row r="405" spans="1:14" ht="12.75">
      <c r="A405" s="41"/>
      <c r="N405" s="51"/>
    </row>
    <row r="406" spans="1:14" ht="12.75">
      <c r="A406" s="41"/>
      <c r="N406" s="51"/>
    </row>
    <row r="407" spans="1:14" ht="12.75">
      <c r="A407" s="41"/>
      <c r="N407" s="51"/>
    </row>
    <row r="408" spans="1:14" ht="12.75">
      <c r="A408" s="41"/>
      <c r="N408" s="51"/>
    </row>
    <row r="409" spans="1:14" ht="12.75">
      <c r="A409" s="41"/>
      <c r="N409" s="51"/>
    </row>
    <row r="410" spans="1:14" ht="12.75">
      <c r="A410" s="41"/>
      <c r="N410" s="51"/>
    </row>
    <row r="411" spans="1:14" ht="12.75">
      <c r="A411" s="41"/>
      <c r="N411" s="51"/>
    </row>
    <row r="412" spans="1:14" ht="12.75">
      <c r="A412" s="41"/>
      <c r="N412" s="51"/>
    </row>
    <row r="413" spans="1:14" ht="12.75">
      <c r="A413" s="41"/>
      <c r="N413" s="51"/>
    </row>
    <row r="414" spans="1:14" ht="12.75">
      <c r="A414" s="41"/>
      <c r="N414" s="51"/>
    </row>
    <row r="415" spans="1:14" ht="12.75">
      <c r="A415" s="41"/>
      <c r="N415" s="51"/>
    </row>
    <row r="416" spans="1:14" ht="12.75">
      <c r="A416" s="41"/>
      <c r="N416" s="51"/>
    </row>
    <row r="417" spans="1:14" ht="12.75">
      <c r="A417" s="41"/>
      <c r="N417" s="51"/>
    </row>
    <row r="418" spans="1:14" ht="12.75">
      <c r="A418" s="41"/>
      <c r="N418" s="51"/>
    </row>
    <row r="419" spans="1:14" ht="12.75">
      <c r="A419" s="41"/>
      <c r="N419" s="51"/>
    </row>
    <row r="420" spans="1:14" ht="12.75">
      <c r="A420" s="41"/>
      <c r="N420" s="51"/>
    </row>
    <row r="421" spans="1:14" ht="12.75">
      <c r="A421" s="41"/>
      <c r="N421" s="51"/>
    </row>
    <row r="422" spans="1:14" ht="12.75">
      <c r="A422" s="41"/>
      <c r="N422" s="51"/>
    </row>
    <row r="423" spans="1:14" ht="12.75">
      <c r="A423" s="41"/>
      <c r="N423" s="51"/>
    </row>
    <row r="424" spans="1:14" ht="12.75">
      <c r="A424" s="41"/>
      <c r="N424" s="51"/>
    </row>
    <row r="425" spans="1:14" ht="12.75">
      <c r="A425" s="41"/>
      <c r="N425" s="51"/>
    </row>
    <row r="426" spans="1:14" ht="12.75">
      <c r="A426" s="41"/>
      <c r="N426" s="51"/>
    </row>
    <row r="427" spans="1:14" ht="12.75">
      <c r="A427" s="41"/>
      <c r="N427" s="51"/>
    </row>
    <row r="428" spans="1:14" ht="12.75">
      <c r="A428" s="41"/>
      <c r="N428" s="51"/>
    </row>
    <row r="429" spans="1:14" ht="12.75">
      <c r="A429" s="41"/>
      <c r="N429" s="51"/>
    </row>
    <row r="430" spans="1:14" ht="12.75">
      <c r="A430" s="41"/>
      <c r="N430" s="51"/>
    </row>
    <row r="431" spans="1:14" ht="12.75">
      <c r="A431" s="41"/>
      <c r="N431" s="51"/>
    </row>
    <row r="432" spans="1:14" ht="12.75">
      <c r="A432" s="41"/>
      <c r="N432" s="51"/>
    </row>
    <row r="433" spans="1:14" ht="12.75">
      <c r="A433" s="41"/>
      <c r="N433" s="51"/>
    </row>
    <row r="434" spans="1:14" ht="12.75">
      <c r="A434" s="41"/>
      <c r="N434" s="51"/>
    </row>
    <row r="435" spans="1:14" ht="12.75">
      <c r="A435" s="41"/>
      <c r="N435" s="51"/>
    </row>
    <row r="436" spans="1:14" ht="12.75">
      <c r="A436" s="41"/>
      <c r="N436" s="51"/>
    </row>
    <row r="437" spans="1:14" ht="12.75">
      <c r="A437" s="41"/>
      <c r="N437" s="51"/>
    </row>
    <row r="438" spans="1:14" ht="12.75">
      <c r="A438" s="41"/>
      <c r="N438" s="51"/>
    </row>
    <row r="439" spans="1:14" ht="12.75">
      <c r="A439" s="41"/>
      <c r="N439" s="51"/>
    </row>
    <row r="440" spans="1:14" ht="12.75">
      <c r="A440" s="41"/>
      <c r="N440" s="51"/>
    </row>
    <row r="441" spans="1:14" ht="12.75">
      <c r="A441" s="41"/>
      <c r="N441" s="51"/>
    </row>
    <row r="442" spans="1:14" ht="12.75">
      <c r="A442" s="41"/>
      <c r="N442" s="51"/>
    </row>
    <row r="443" spans="1:14" ht="12.75">
      <c r="A443" s="41"/>
      <c r="N443" s="51"/>
    </row>
    <row r="444" spans="1:14" ht="12.75">
      <c r="A444" s="41"/>
      <c r="N444" s="51"/>
    </row>
    <row r="445" spans="1:14" ht="12.75">
      <c r="A445" s="41"/>
      <c r="N445" s="51"/>
    </row>
    <row r="446" spans="1:14" ht="12.75">
      <c r="A446" s="41"/>
      <c r="N446" s="51"/>
    </row>
    <row r="447" spans="1:14" ht="12.75">
      <c r="A447" s="41"/>
      <c r="N447" s="51"/>
    </row>
    <row r="448" spans="1:14" ht="12.75">
      <c r="A448" s="41"/>
      <c r="N448" s="51"/>
    </row>
    <row r="449" spans="1:14" ht="12.75">
      <c r="A449" s="41"/>
      <c r="N449" s="51"/>
    </row>
    <row r="450" spans="1:14" ht="12.75">
      <c r="A450" s="41"/>
      <c r="N450" s="51"/>
    </row>
    <row r="451" spans="1:14" ht="12.75">
      <c r="A451" s="41"/>
      <c r="N451" s="51"/>
    </row>
    <row r="452" spans="1:14" ht="12.75">
      <c r="A452" s="41"/>
      <c r="N452" s="51"/>
    </row>
    <row r="453" spans="1:14" ht="12.75">
      <c r="A453" s="41"/>
      <c r="N453" s="51"/>
    </row>
    <row r="454" spans="1:14" ht="12.75">
      <c r="A454" s="41"/>
      <c r="N454" s="51"/>
    </row>
    <row r="455" spans="1:14" ht="12.75">
      <c r="A455" s="41"/>
      <c r="N455" s="51"/>
    </row>
    <row r="456" spans="1:14" ht="12.75">
      <c r="A456" s="41"/>
      <c r="N456" s="51"/>
    </row>
    <row r="457" spans="1:14" ht="12.75">
      <c r="A457" s="41"/>
      <c r="N457" s="51"/>
    </row>
    <row r="458" spans="1:14" ht="12.75">
      <c r="A458" s="41"/>
      <c r="N458" s="51"/>
    </row>
    <row r="459" spans="1:14" ht="12.75">
      <c r="A459" s="41"/>
      <c r="N459" s="51"/>
    </row>
    <row r="460" spans="1:14" ht="12.75">
      <c r="A460" s="41"/>
      <c r="N460" s="51"/>
    </row>
    <row r="461" spans="1:14" ht="12.75">
      <c r="A461" s="41"/>
      <c r="N461" s="51"/>
    </row>
    <row r="462" spans="1:14" ht="12.75">
      <c r="A462" s="41"/>
      <c r="N462" s="51"/>
    </row>
    <row r="463" spans="1:14" ht="12.75">
      <c r="A463" s="41"/>
      <c r="N463" s="51"/>
    </row>
    <row r="464" spans="1:14" ht="12.75">
      <c r="A464" s="41"/>
      <c r="N464" s="51"/>
    </row>
    <row r="465" spans="1:14" ht="12.75">
      <c r="A465" s="41"/>
      <c r="N465" s="51"/>
    </row>
    <row r="466" spans="1:14" ht="12.75">
      <c r="A466" s="41"/>
      <c r="N466" s="51"/>
    </row>
    <row r="467" spans="1:14" ht="12.75">
      <c r="A467" s="41"/>
      <c r="N467" s="51"/>
    </row>
    <row r="468" spans="1:14" ht="12.75">
      <c r="A468" s="41"/>
      <c r="N468" s="51"/>
    </row>
    <row r="469" spans="1:14" ht="12.75">
      <c r="A469" s="41"/>
      <c r="N469" s="51"/>
    </row>
    <row r="470" spans="1:14" ht="12.75">
      <c r="A470" s="41"/>
      <c r="N470" s="51"/>
    </row>
    <row r="471" spans="1:14" ht="12.75">
      <c r="A471" s="41"/>
      <c r="N471" s="51"/>
    </row>
    <row r="472" spans="1:14" ht="12.75">
      <c r="A472" s="41"/>
      <c r="N472" s="51"/>
    </row>
    <row r="473" spans="1:14" ht="12.75">
      <c r="A473" s="41"/>
      <c r="N473" s="51"/>
    </row>
    <row r="474" spans="1:14" ht="12.75">
      <c r="A474" s="41"/>
      <c r="N474" s="51"/>
    </row>
    <row r="475" spans="1:14" ht="12.75">
      <c r="A475" s="41"/>
      <c r="N475" s="51"/>
    </row>
    <row r="476" spans="1:14" ht="12.75">
      <c r="A476" s="41"/>
      <c r="N476" s="51"/>
    </row>
    <row r="477" spans="1:14" ht="12.75">
      <c r="A477" s="41"/>
      <c r="N477" s="51"/>
    </row>
    <row r="478" spans="1:14" ht="12.75">
      <c r="A478" s="41"/>
      <c r="N478" s="51"/>
    </row>
    <row r="479" spans="1:14" ht="12.75">
      <c r="A479" s="41"/>
      <c r="N479" s="51"/>
    </row>
    <row r="480" spans="1:14" ht="12.75">
      <c r="A480" s="41"/>
      <c r="N480" s="51"/>
    </row>
    <row r="481" spans="1:14" ht="12.75">
      <c r="A481" s="41"/>
      <c r="N481" s="51"/>
    </row>
    <row r="482" spans="1:14" ht="12.75">
      <c r="A482" s="41"/>
      <c r="N482" s="51"/>
    </row>
    <row r="483" spans="1:14" ht="12.75">
      <c r="A483" s="41"/>
      <c r="N483" s="51"/>
    </row>
    <row r="484" spans="1:14" ht="12.75">
      <c r="A484" s="41"/>
      <c r="N484" s="51"/>
    </row>
    <row r="485" spans="1:14" ht="12.75">
      <c r="A485" s="41"/>
      <c r="N485" s="51"/>
    </row>
    <row r="486" spans="1:14" ht="12.75">
      <c r="A486" s="41"/>
      <c r="N486" s="51"/>
    </row>
    <row r="487" spans="1:14" ht="12.75">
      <c r="A487" s="41"/>
      <c r="N487" s="51"/>
    </row>
    <row r="488" spans="1:14" ht="12.75">
      <c r="A488" s="41"/>
      <c r="N488" s="51"/>
    </row>
    <row r="489" spans="1:14" ht="12.75">
      <c r="A489" s="41"/>
      <c r="N489" s="51"/>
    </row>
    <row r="490" spans="1:14" ht="12.75">
      <c r="A490" s="41"/>
      <c r="N490" s="51"/>
    </row>
    <row r="491" spans="1:14" ht="12.75">
      <c r="A491" s="41"/>
      <c r="N491" s="51"/>
    </row>
    <row r="492" spans="1:14" ht="12.75">
      <c r="A492" s="41"/>
      <c r="N492" s="51"/>
    </row>
    <row r="493" spans="1:14" ht="12.75">
      <c r="A493" s="41"/>
      <c r="N493" s="51"/>
    </row>
    <row r="494" spans="1:14" ht="12.75">
      <c r="A494" s="41"/>
      <c r="N494" s="51"/>
    </row>
    <row r="495" spans="1:14" ht="12.75">
      <c r="A495" s="41"/>
      <c r="N495" s="51"/>
    </row>
    <row r="496" spans="1:14" ht="12.75">
      <c r="A496" s="41"/>
      <c r="N496" s="51"/>
    </row>
    <row r="497" spans="1:14" ht="12.75">
      <c r="A497" s="41"/>
      <c r="N497" s="51"/>
    </row>
    <row r="498" spans="1:14" ht="12.75">
      <c r="A498" s="41"/>
      <c r="N498" s="51"/>
    </row>
    <row r="499" spans="1:14" ht="12.75">
      <c r="A499" s="41"/>
      <c r="N499" s="51"/>
    </row>
    <row r="500" spans="1:14" ht="12.75">
      <c r="A500" s="41"/>
      <c r="N500" s="51"/>
    </row>
    <row r="501" spans="1:14" ht="12.75">
      <c r="A501" s="41"/>
      <c r="N501" s="51"/>
    </row>
    <row r="502" spans="1:14" ht="12.75">
      <c r="A502" s="41"/>
      <c r="N502" s="51"/>
    </row>
    <row r="503" spans="1:14" ht="12.75">
      <c r="A503" s="41"/>
      <c r="N503" s="51"/>
    </row>
    <row r="504" spans="1:14" ht="12.75">
      <c r="A504" s="41"/>
      <c r="N504" s="51"/>
    </row>
    <row r="505" spans="1:14" ht="12.75">
      <c r="A505" s="41"/>
      <c r="N505" s="51"/>
    </row>
    <row r="506" spans="1:14" ht="12.75">
      <c r="A506" s="41"/>
      <c r="N506" s="51"/>
    </row>
    <row r="507" spans="1:14" ht="12.75">
      <c r="A507" s="41"/>
      <c r="N507" s="51"/>
    </row>
    <row r="508" spans="1:14" ht="12.75">
      <c r="A508" s="41"/>
      <c r="N508" s="51"/>
    </row>
    <row r="509" spans="1:14" ht="12.75">
      <c r="A509" s="41"/>
      <c r="N509" s="51"/>
    </row>
    <row r="510" spans="1:14" ht="12.75">
      <c r="A510" s="41"/>
      <c r="N510" s="51"/>
    </row>
    <row r="511" spans="1:14" ht="12.75">
      <c r="A511" s="41"/>
      <c r="N511" s="51"/>
    </row>
    <row r="512" spans="1:14" ht="12.75">
      <c r="A512" s="41"/>
      <c r="N512" s="51"/>
    </row>
    <row r="513" spans="1:14" ht="12.75">
      <c r="A513" s="41"/>
      <c r="N513" s="51"/>
    </row>
    <row r="514" spans="1:14" ht="12.75">
      <c r="A514" s="41"/>
      <c r="N514" s="51"/>
    </row>
    <row r="515" spans="1:14" ht="12.75">
      <c r="A515" s="41"/>
      <c r="N515" s="51"/>
    </row>
    <row r="516" spans="1:14" ht="12.75">
      <c r="A516" s="41"/>
      <c r="N516" s="51"/>
    </row>
    <row r="517" spans="1:14" ht="12.75">
      <c r="A517" s="41"/>
      <c r="N517" s="51"/>
    </row>
    <row r="518" spans="1:14" ht="12.75">
      <c r="A518" s="41"/>
      <c r="N518" s="51"/>
    </row>
    <row r="519" spans="1:14" ht="12.75">
      <c r="A519" s="41"/>
      <c r="N519" s="51"/>
    </row>
    <row r="520" spans="1:14" ht="12.75">
      <c r="A520" s="41"/>
      <c r="N520" s="51"/>
    </row>
    <row r="521" spans="1:14" ht="12.75">
      <c r="A521" s="41"/>
      <c r="N521" s="51"/>
    </row>
    <row r="522" spans="1:14" ht="12.75">
      <c r="A522" s="41"/>
      <c r="N522" s="51"/>
    </row>
    <row r="523" spans="1:14" ht="12.75">
      <c r="A523" s="41"/>
      <c r="N523" s="51"/>
    </row>
    <row r="524" spans="1:14" ht="12.75">
      <c r="A524" s="41"/>
      <c r="N524" s="51"/>
    </row>
    <row r="525" spans="1:14" ht="12.75">
      <c r="A525" s="41"/>
      <c r="N525" s="51"/>
    </row>
    <row r="526" spans="1:14" ht="12.75">
      <c r="A526" s="41"/>
      <c r="N526" s="51"/>
    </row>
    <row r="527" spans="1:14" ht="12.75">
      <c r="A527" s="41"/>
      <c r="N527" s="51"/>
    </row>
    <row r="528" spans="1:14" ht="12.75">
      <c r="A528" s="41"/>
      <c r="N528" s="51"/>
    </row>
    <row r="529" spans="1:14" ht="12.75">
      <c r="A529" s="41"/>
      <c r="N529" s="51"/>
    </row>
    <row r="530" spans="1:14" ht="12.75">
      <c r="A530" s="41"/>
      <c r="N530" s="51"/>
    </row>
    <row r="531" spans="1:14" ht="12.75">
      <c r="A531" s="41"/>
      <c r="N531" s="51"/>
    </row>
    <row r="532" spans="1:14" ht="12.75">
      <c r="A532" s="41"/>
      <c r="N532" s="51"/>
    </row>
    <row r="533" spans="1:14" ht="12.75">
      <c r="A533" s="41"/>
      <c r="N533" s="51"/>
    </row>
    <row r="534" spans="1:14" ht="12.75">
      <c r="A534" s="41"/>
      <c r="N534" s="51"/>
    </row>
    <row r="535" spans="1:14" ht="12.75">
      <c r="A535" s="41"/>
      <c r="N535" s="51"/>
    </row>
    <row r="536" spans="1:14" ht="12.75">
      <c r="A536" s="41"/>
      <c r="N536" s="51"/>
    </row>
    <row r="537" spans="1:14" ht="12.75">
      <c r="A537" s="41"/>
      <c r="N537" s="51"/>
    </row>
    <row r="538" spans="1:14" ht="12.75">
      <c r="A538" s="41"/>
      <c r="N538" s="51"/>
    </row>
    <row r="539" spans="1:14" ht="12.75">
      <c r="A539" s="41"/>
      <c r="N539" s="51"/>
    </row>
    <row r="540" spans="1:14" ht="12.75">
      <c r="A540" s="41"/>
      <c r="N540" s="51"/>
    </row>
    <row r="541" spans="1:14" ht="12.75">
      <c r="A541" s="41"/>
      <c r="N541" s="51"/>
    </row>
    <row r="542" spans="1:14" ht="12.75">
      <c r="A542" s="41"/>
      <c r="N542" s="51"/>
    </row>
    <row r="543" spans="1:14" ht="12.75">
      <c r="A543" s="41"/>
      <c r="N543" s="51"/>
    </row>
    <row r="544" spans="1:14" ht="12.75">
      <c r="A544" s="41"/>
      <c r="N544" s="51"/>
    </row>
    <row r="545" spans="1:14" ht="12.75">
      <c r="A545" s="41"/>
      <c r="N545" s="51"/>
    </row>
    <row r="546" spans="1:14" ht="12.75">
      <c r="A546" s="41"/>
      <c r="N546" s="51"/>
    </row>
    <row r="547" spans="1:14" ht="12.75">
      <c r="A547" s="41"/>
      <c r="N547" s="51"/>
    </row>
    <row r="548" spans="1:14" ht="12.75">
      <c r="A548" s="41"/>
      <c r="N548" s="51"/>
    </row>
    <row r="549" spans="1:14" ht="12.75">
      <c r="A549" s="41"/>
      <c r="N549" s="51"/>
    </row>
    <row r="550" spans="1:14" ht="12.75">
      <c r="A550" s="41"/>
      <c r="N550" s="51"/>
    </row>
    <row r="551" spans="1:14" ht="12.75">
      <c r="A551" s="41"/>
      <c r="N551" s="51"/>
    </row>
    <row r="552" spans="1:14" ht="12.75">
      <c r="A552" s="41"/>
      <c r="N552" s="51"/>
    </row>
    <row r="553" spans="1:14" ht="12.75">
      <c r="A553" s="41"/>
      <c r="N553" s="51"/>
    </row>
    <row r="554" spans="1:14" ht="12.75">
      <c r="A554" s="41"/>
      <c r="N554" s="51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4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5" max="5" width="14.28515625" customWidth="1"/>
  </cols>
  <sheetData>
    <row r="1" spans="1:7" ht="15.75" customHeight="1">
      <c r="A1" s="69"/>
      <c r="B1" s="69" t="s">
        <v>31</v>
      </c>
      <c r="C1" s="70"/>
      <c r="D1" s="70"/>
      <c r="E1" s="70"/>
      <c r="F1" s="34" t="s">
        <v>32</v>
      </c>
    </row>
    <row r="3" spans="1:7" ht="12.75">
      <c r="A3" s="71"/>
      <c r="B3" s="71" t="s">
        <v>33</v>
      </c>
      <c r="C3" s="72">
        <f ca="1">TODAY()-6</f>
        <v>46215</v>
      </c>
      <c r="D3" s="71" t="s">
        <v>34</v>
      </c>
      <c r="E3" s="73">
        <f ca="1">TODAY()</f>
        <v>46221</v>
      </c>
    </row>
    <row r="4" spans="1:7" ht="12.75">
      <c r="A4" s="34" t="s">
        <v>35</v>
      </c>
      <c r="B4" s="33" t="str">
        <f ca="1">IFERROR(__xludf.DUMMYFUNCTION("GOOGLEFINANCE(F1,""all"",C3,E3)"),"Date")</f>
        <v>Date</v>
      </c>
      <c r="C4" s="33" t="str">
        <f ca="1">IFERROR(__xludf.DUMMYFUNCTION("""COMPUTED_VALUE"""),"Open")</f>
        <v>Open</v>
      </c>
      <c r="D4" s="33" t="str">
        <f ca="1">IFERROR(__xludf.DUMMYFUNCTION("""COMPUTED_VALUE"""),"High")</f>
        <v>High</v>
      </c>
      <c r="E4" s="33" t="str">
        <f ca="1">IFERROR(__xludf.DUMMYFUNCTION("""COMPUTED_VALUE"""),"Low")</f>
        <v>Low</v>
      </c>
      <c r="F4" s="33" t="str">
        <f ca="1">IFERROR(__xludf.DUMMYFUNCTION("""COMPUTED_VALUE"""),"Close")</f>
        <v>Close</v>
      </c>
      <c r="G4" s="33" t="str">
        <f ca="1">IFERROR(__xludf.DUMMYFUNCTION("""COMPUTED_VALUE"""),"Volume")</f>
        <v>Volume</v>
      </c>
    </row>
    <row r="5" spans="1:7" ht="12.75">
      <c r="A5" s="34" t="s">
        <v>19</v>
      </c>
      <c r="B5" s="36">
        <f ca="1">IFERROR(__xludf.DUMMYFUNCTION("""COMPUTED_VALUE"""),46216.6666666666)</f>
        <v>46216.666666666599</v>
      </c>
      <c r="C5" s="19">
        <f ca="1">IFERROR(__xludf.DUMMYFUNCTION("""COMPUTED_VALUE"""),161.15)</f>
        <v>161.15</v>
      </c>
      <c r="D5" s="19">
        <f ca="1">IFERROR(__xludf.DUMMYFUNCTION("""COMPUTED_VALUE"""),161.53)</f>
        <v>161.53</v>
      </c>
      <c r="E5" s="19">
        <f ca="1">IFERROR(__xludf.DUMMYFUNCTION("""COMPUTED_VALUE"""),160.69)</f>
        <v>160.69</v>
      </c>
      <c r="F5" s="19">
        <f ca="1">IFERROR(__xludf.DUMMYFUNCTION("""COMPUTED_VALUE"""),160.82)</f>
        <v>160.82</v>
      </c>
      <c r="G5" s="33">
        <f ca="1">IFERROR(__xludf.DUMMYFUNCTION("""COMPUTED_VALUE"""),149701)</f>
        <v>149701</v>
      </c>
    </row>
    <row r="6" spans="1:7" ht="12.75">
      <c r="A6" s="34" t="s">
        <v>20</v>
      </c>
      <c r="B6" s="36">
        <f ca="1">IFERROR(__xludf.DUMMYFUNCTION("""COMPUTED_VALUE"""),46217.6666666666)</f>
        <v>46217.666666666599</v>
      </c>
      <c r="C6" s="19">
        <f ca="1">IFERROR(__xludf.DUMMYFUNCTION("""COMPUTED_VALUE"""),160.8)</f>
        <v>160.80000000000001</v>
      </c>
      <c r="D6" s="19">
        <f ca="1">IFERROR(__xludf.DUMMYFUNCTION("""COMPUTED_VALUE"""),161)</f>
        <v>161</v>
      </c>
      <c r="E6" s="19">
        <f ca="1">IFERROR(__xludf.DUMMYFUNCTION("""COMPUTED_VALUE"""),160.27)</f>
        <v>160.27000000000001</v>
      </c>
      <c r="F6" s="19">
        <f ca="1">IFERROR(__xludf.DUMMYFUNCTION("""COMPUTED_VALUE"""),160.96)</f>
        <v>160.96</v>
      </c>
      <c r="G6" s="33">
        <f ca="1">IFERROR(__xludf.DUMMYFUNCTION("""COMPUTED_VALUE"""),104611)</f>
        <v>104611</v>
      </c>
    </row>
    <row r="7" spans="1:7" ht="12.75">
      <c r="A7" s="34" t="s">
        <v>21</v>
      </c>
      <c r="B7" s="36">
        <f ca="1">IFERROR(__xludf.DUMMYFUNCTION("""COMPUTED_VALUE"""),46218.6666666666)</f>
        <v>46218.666666666599</v>
      </c>
      <c r="C7" s="19">
        <f ca="1">IFERROR(__xludf.DUMMYFUNCTION("""COMPUTED_VALUE"""),160.89)</f>
        <v>160.88999999999999</v>
      </c>
      <c r="D7" s="19">
        <f ca="1">IFERROR(__xludf.DUMMYFUNCTION("""COMPUTED_VALUE"""),160.9)</f>
        <v>160.9</v>
      </c>
      <c r="E7" s="19">
        <f ca="1">IFERROR(__xludf.DUMMYFUNCTION("""COMPUTED_VALUE"""),160.47)</f>
        <v>160.47</v>
      </c>
      <c r="F7" s="19">
        <f ca="1">IFERROR(__xludf.DUMMYFUNCTION("""COMPUTED_VALUE"""),160.77)</f>
        <v>160.77000000000001</v>
      </c>
      <c r="G7" s="33">
        <f ca="1">IFERROR(__xludf.DUMMYFUNCTION("""COMPUTED_VALUE"""),166629)</f>
        <v>166629</v>
      </c>
    </row>
    <row r="8" spans="1:7" ht="12.75">
      <c r="A8" s="34" t="s">
        <v>22</v>
      </c>
      <c r="B8" s="36">
        <f ca="1">IFERROR(__xludf.DUMMYFUNCTION("""COMPUTED_VALUE"""),46219.6666666666)</f>
        <v>46219.666666666599</v>
      </c>
      <c r="C8" s="19">
        <f ca="1">IFERROR(__xludf.DUMMYFUNCTION("""COMPUTED_VALUE"""),160.61)</f>
        <v>160.61000000000001</v>
      </c>
      <c r="D8" s="19">
        <f ca="1">IFERROR(__xludf.DUMMYFUNCTION("""COMPUTED_VALUE"""),160.92)</f>
        <v>160.91999999999999</v>
      </c>
      <c r="E8" s="19">
        <f ca="1">IFERROR(__xludf.DUMMYFUNCTION("""COMPUTED_VALUE"""),160.43)</f>
        <v>160.43</v>
      </c>
      <c r="F8" s="19">
        <f ca="1">IFERROR(__xludf.DUMMYFUNCTION("""COMPUTED_VALUE"""),160.76)</f>
        <v>160.76</v>
      </c>
      <c r="G8" s="33">
        <f ca="1">IFERROR(__xludf.DUMMYFUNCTION("""COMPUTED_VALUE"""),195574)</f>
        <v>195574</v>
      </c>
    </row>
    <row r="9" spans="1:7" ht="12.75">
      <c r="A9" s="34" t="s">
        <v>23</v>
      </c>
      <c r="B9" s="36">
        <f ca="1">IFERROR(__xludf.DUMMYFUNCTION("""COMPUTED_VALUE"""),46220.6666666666)</f>
        <v>46220.666666666599</v>
      </c>
      <c r="C9" s="19">
        <f ca="1">IFERROR(__xludf.DUMMYFUNCTION("""COMPUTED_VALUE"""),160.64)</f>
        <v>160.63999999999999</v>
      </c>
      <c r="D9" s="19">
        <f ca="1">IFERROR(__xludf.DUMMYFUNCTION("""COMPUTED_VALUE"""),160.64)</f>
        <v>160.63999999999999</v>
      </c>
      <c r="E9" s="19">
        <f ca="1">IFERROR(__xludf.DUMMYFUNCTION("""COMPUTED_VALUE"""),158.53)</f>
        <v>158.53</v>
      </c>
      <c r="F9" s="19">
        <f ca="1">IFERROR(__xludf.DUMMYFUNCTION("""COMPUTED_VALUE"""),158.82)</f>
        <v>158.82</v>
      </c>
      <c r="G9" s="33">
        <f ca="1">IFERROR(__xludf.DUMMYFUNCTION("""COMPUTED_VALUE"""),285040)</f>
        <v>285040</v>
      </c>
    </row>
    <row r="10" spans="1:7" ht="12.75">
      <c r="A10" s="36"/>
      <c r="B10" s="36"/>
      <c r="C10" s="19"/>
      <c r="D10" s="19"/>
      <c r="E10" s="19"/>
      <c r="F10" s="19"/>
    </row>
    <row r="11" spans="1:7" ht="12.75">
      <c r="A11" s="36"/>
      <c r="B11" s="36"/>
      <c r="C11" s="19"/>
      <c r="D11" s="19"/>
      <c r="E11" s="19"/>
      <c r="F11" s="19"/>
    </row>
    <row r="12" spans="1:7" ht="12.75">
      <c r="A12" s="36"/>
      <c r="B12" s="36"/>
      <c r="C12" s="19"/>
      <c r="D12" s="19"/>
      <c r="E12" s="19"/>
      <c r="F12" s="19"/>
    </row>
    <row r="13" spans="1:7" ht="12.75">
      <c r="A13" s="36"/>
      <c r="B13" s="36"/>
      <c r="C13" s="19"/>
      <c r="D13" s="19"/>
      <c r="E13" s="19"/>
      <c r="F13" s="19"/>
    </row>
    <row r="14" spans="1:7" ht="12.75">
      <c r="A14" s="36"/>
      <c r="B14" s="36"/>
      <c r="C14" s="36"/>
      <c r="D14" s="36"/>
      <c r="E14" s="36"/>
      <c r="F14" s="19"/>
    </row>
    <row r="15" spans="1:7" ht="12.75">
      <c r="A15" s="36"/>
      <c r="B15" s="36"/>
      <c r="C15" s="36"/>
      <c r="D15" s="36"/>
      <c r="E15" s="36"/>
      <c r="F15" s="19"/>
    </row>
    <row r="16" spans="1:7" ht="12.75">
      <c r="A16" s="36"/>
      <c r="B16" s="36"/>
      <c r="C16" s="36"/>
      <c r="D16" s="36"/>
      <c r="E16" s="36"/>
      <c r="F16" s="19"/>
    </row>
    <row r="17" spans="1:6" ht="12.75">
      <c r="A17" s="36"/>
      <c r="B17" s="36"/>
      <c r="C17" s="36"/>
      <c r="D17" s="36"/>
      <c r="E17" s="36"/>
      <c r="F17" s="19"/>
    </row>
    <row r="18" spans="1:6" ht="12.75">
      <c r="A18" s="36"/>
      <c r="B18" s="36"/>
      <c r="C18" s="36"/>
      <c r="D18" s="36"/>
      <c r="E18" s="36"/>
      <c r="F18" s="19"/>
    </row>
    <row r="19" spans="1:6" ht="12.75">
      <c r="A19" s="36"/>
      <c r="B19" s="36"/>
      <c r="C19" s="36"/>
      <c r="D19" s="36"/>
      <c r="E19" s="36"/>
      <c r="F19" s="19"/>
    </row>
    <row r="20" spans="1:6" ht="12.75">
      <c r="A20" s="36"/>
      <c r="B20" s="36"/>
      <c r="C20" s="36"/>
      <c r="D20" s="36"/>
      <c r="E20" s="36"/>
      <c r="F20" s="19"/>
    </row>
    <row r="21" spans="1:6" ht="12.75">
      <c r="A21" s="36"/>
      <c r="B21" s="36"/>
      <c r="C21" s="36"/>
      <c r="D21" s="36"/>
      <c r="E21" s="36"/>
      <c r="F21" s="19"/>
    </row>
    <row r="22" spans="1:6" ht="12.75">
      <c r="A22" s="36"/>
      <c r="B22" s="36"/>
      <c r="C22" s="36"/>
      <c r="D22" s="36"/>
      <c r="E22" s="36"/>
      <c r="F22" s="19"/>
    </row>
    <row r="23" spans="1:6" ht="12.75">
      <c r="A23" s="36"/>
      <c r="B23" s="36"/>
      <c r="C23" s="36"/>
      <c r="D23" s="36"/>
      <c r="E23" s="36"/>
      <c r="F23" s="19"/>
    </row>
    <row r="24" spans="1:6" ht="12.75">
      <c r="A24" s="36"/>
      <c r="B24" s="36"/>
      <c r="C24" s="36"/>
      <c r="D24" s="36"/>
      <c r="E24" s="36"/>
      <c r="F24" s="19"/>
    </row>
    <row r="25" spans="1:6" ht="12.75">
      <c r="A25" s="36"/>
      <c r="B25" s="36"/>
      <c r="C25" s="36"/>
      <c r="D25" s="36"/>
      <c r="E25" s="36"/>
      <c r="F25" s="19"/>
    </row>
    <row r="26" spans="1:6" ht="12.75">
      <c r="F26" s="19"/>
    </row>
    <row r="27" spans="1:6" ht="12.75">
      <c r="F27" s="19"/>
    </row>
    <row r="28" spans="1:6" ht="12.75">
      <c r="F28" s="19"/>
    </row>
    <row r="29" spans="1:6" ht="12.75">
      <c r="F29" s="19"/>
    </row>
    <row r="30" spans="1:6" ht="12.75">
      <c r="F30" s="19"/>
    </row>
    <row r="31" spans="1:6" ht="12.75">
      <c r="F31" s="19"/>
    </row>
    <row r="32" spans="1:6" ht="12.75">
      <c r="F32" s="19"/>
    </row>
    <row r="33" spans="6:6" ht="12.75">
      <c r="F33" s="19"/>
    </row>
    <row r="34" spans="6:6" ht="12.75">
      <c r="F34" s="19"/>
    </row>
    <row r="35" spans="6:6" ht="12.75">
      <c r="F35" s="19"/>
    </row>
    <row r="36" spans="6:6" ht="12.75">
      <c r="F36" s="19"/>
    </row>
    <row r="37" spans="6:6" ht="12.75">
      <c r="F37" s="19"/>
    </row>
    <row r="38" spans="6:6" ht="12.75">
      <c r="F38" s="19"/>
    </row>
    <row r="39" spans="6:6" ht="12.75">
      <c r="F39" s="19"/>
    </row>
    <row r="40" spans="6:6" ht="12.75">
      <c r="F4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:F3"/>
  <sheetViews>
    <sheetView tabSelected="1" workbookViewId="0">
      <selection activeCell="E8" sqref="E8"/>
    </sheetView>
  </sheetViews>
  <sheetFormatPr defaultColWidth="12.5703125" defaultRowHeight="15.75" customHeight="1"/>
  <cols>
    <col min="1" max="1" width="18.140625" customWidth="1"/>
    <col min="2" max="2" width="24.28515625" customWidth="1"/>
    <col min="6" max="6" width="16.7109375" customWidth="1"/>
  </cols>
  <sheetData>
    <row r="2" spans="1:6">
      <c r="A2" s="74" t="s">
        <v>36</v>
      </c>
      <c r="B2" s="75" t="s">
        <v>37</v>
      </c>
      <c r="C2" s="74" t="s">
        <v>38</v>
      </c>
      <c r="D2" s="74" t="s">
        <v>39</v>
      </c>
      <c r="E2" s="75" t="s">
        <v>40</v>
      </c>
      <c r="F2" s="74" t="s">
        <v>41</v>
      </c>
    </row>
    <row r="3" spans="1:6">
      <c r="A3" s="60">
        <v>46198</v>
      </c>
      <c r="B3" s="20">
        <v>2304.2800000000002</v>
      </c>
      <c r="C3" s="34">
        <v>1</v>
      </c>
      <c r="D3" s="5">
        <v>156.30000000000001</v>
      </c>
      <c r="E3" s="5">
        <v>156.30000000000001</v>
      </c>
      <c r="F3" s="34">
        <v>15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VGS PKP</vt:lpstr>
      <vt:lpstr>VGS History Data</vt:lpstr>
      <vt:lpstr>Total Investment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pulipati.satish2000@hotmail.com</cp:lastModifiedBy>
  <dcterms:modified xsi:type="dcterms:W3CDTF">2026-07-18T05:39:43Z</dcterms:modified>
</cp:coreProperties>
</file>